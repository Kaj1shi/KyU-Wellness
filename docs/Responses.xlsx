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Form Responses 1" sheetId="1" state="visible" r:id="rId1"/>
    <sheet name="Sheet1" sheetId="2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<sst xmlns="http://schemas.openxmlformats.org/spreadsheetml/2006/main" count="460" uniqueCount="460">
  <si>
    <t>Timestamp</t>
  </si>
  <si>
    <t xml:space="preserve">Do you voluntarily agree to participate in this study?</t>
  </si>
  <si>
    <t xml:space="preserve">1. Age</t>
  </si>
  <si>
    <t xml:space="preserve">2. Gender</t>
  </si>
  <si>
    <t xml:space="preserve">3. Faculty/School/College</t>
  </si>
  <si>
    <t xml:space="preserve">4. Program of study</t>
  </si>
  <si>
    <t xml:space="preserve">5. Year of Study</t>
  </si>
  <si>
    <t xml:space="preserve">6. Residence Status</t>
  </si>
  <si>
    <t xml:space="preserve">7. Average Daily Academic Study Hours</t>
  </si>
  <si>
    <t xml:space="preserve">8. Employment Status</t>
  </si>
  <si>
    <t xml:space="preserve">1. Feeling little interest or pleasure in doing things.</t>
  </si>
  <si>
    <t>Score</t>
  </si>
  <si>
    <t xml:space="preserve">2. Feeling down, hopeless, or emotionally low.</t>
  </si>
  <si>
    <t>Score2</t>
  </si>
  <si>
    <t xml:space="preserve">3. Trouble sleeping or sleeping too much.</t>
  </si>
  <si>
    <t>Score3</t>
  </si>
  <si>
    <t xml:space="preserve">4. Feeling tired or having little energy.</t>
  </si>
  <si>
    <t>Score4</t>
  </si>
  <si>
    <t xml:space="preserve">5. Poor appetite or overeating.</t>
  </si>
  <si>
    <t>Score5</t>
  </si>
  <si>
    <t xml:space="preserve">6. Feeling bad about yourself or feeling like a failure.</t>
  </si>
  <si>
    <t>Score6</t>
  </si>
  <si>
    <t xml:space="preserve">7. Trouble concentrating during lectures or private study.</t>
  </si>
  <si>
    <t>Score7</t>
  </si>
  <si>
    <t xml:space="preserve">8. Moving or speaking unusually slowly, or feeling restless.</t>
  </si>
  <si>
    <t>Score8</t>
  </si>
  <si>
    <t xml:space="preserve">9. Thoughts of hurting yourself or feeling better off dead.</t>
  </si>
  <si>
    <t>Score9</t>
  </si>
  <si>
    <t xml:space="preserve">Depression Score </t>
  </si>
  <si>
    <t xml:space="preserve">Depression Severity</t>
  </si>
  <si>
    <t xml:space="preserve">1. Feeling nervous, anxious, or on edge.</t>
  </si>
  <si>
    <t>Score16</t>
  </si>
  <si>
    <t xml:space="preserve">2. Not being able to stop worrying.</t>
  </si>
  <si>
    <t>Score10</t>
  </si>
  <si>
    <t xml:space="preserve">3. Worrying too much about academics or personal life.</t>
  </si>
  <si>
    <t>Score11</t>
  </si>
  <si>
    <t xml:space="preserve">4. Trouble relaxing.</t>
  </si>
  <si>
    <t>Score12</t>
  </si>
  <si>
    <t xml:space="preserve">5. Becoming easily annoyed or irritable.</t>
  </si>
  <si>
    <t>Score13</t>
  </si>
  <si>
    <t xml:space="preserve">6. Feeling afraid as if something bad might happen.</t>
  </si>
  <si>
    <t>Score14</t>
  </si>
  <si>
    <t xml:space="preserve">7. Being so restless that it is hard to sit still.</t>
  </si>
  <si>
    <t>Score15</t>
  </si>
  <si>
    <t xml:space="preserve">Anxiety Score</t>
  </si>
  <si>
    <t xml:space="preserve">Anxiety Severity</t>
  </si>
  <si>
    <t xml:space="preserve">1. In the last month, how often have you been upset because of unexpected situations related to academics, finances, or personal life?</t>
  </si>
  <si>
    <t>Score17</t>
  </si>
  <si>
    <t xml:space="preserve">2. In the last month, how often have you felt unable to control important things in your academic or personal life?</t>
  </si>
  <si>
    <t>Score18</t>
  </si>
  <si>
    <t xml:space="preserve">3. In the last month, how often have you felt nervous or stressed because of university responsibilities or personal challenges?</t>
  </si>
  <si>
    <t>Score19</t>
  </si>
  <si>
    <t xml:space="preserve">4. In the last month, how often have you felt confident about your ability to handle academic or personal problems?</t>
  </si>
  <si>
    <t>Score20</t>
  </si>
  <si>
    <t xml:space="preserve">5. In the last month, how often have you felt that things were going well in your studies or personal life?</t>
  </si>
  <si>
    <t>Score21</t>
  </si>
  <si>
    <t xml:space="preserve">6. In the last month, how often have you felt unable to cope with coursework, deadlines, or daily responsibilities?</t>
  </si>
  <si>
    <t>Score22</t>
  </si>
  <si>
    <t xml:space="preserve">7. In the last month, how often have you been able to control irritations or frustrations in your life?</t>
  </si>
  <si>
    <t>Score23</t>
  </si>
  <si>
    <t xml:space="preserve">8. In the last month, how often have you felt that you were managing your academic and personal responsibilities well?</t>
  </si>
  <si>
    <t>Score24</t>
  </si>
  <si>
    <t xml:space="preserve">9. In the last month, how often have you been angered or frustrated by situations outside your control, such as finances, academics, or relationships?</t>
  </si>
  <si>
    <t>Score25</t>
  </si>
  <si>
    <t xml:space="preserve">10. In the last month, how often have you felt that difficulties were piling up so much that you could not overcome them?</t>
  </si>
  <si>
    <t>Score26</t>
  </si>
  <si>
    <t xml:space="preserve">Anxiety Score2</t>
  </si>
  <si>
    <t xml:space="preserve">Anxiety Severity2</t>
  </si>
  <si>
    <t xml:space="preserve">1. Have you ever used a digital mental health platform or chatbot before?</t>
  </si>
  <si>
    <t xml:space="preserve">2. Would you feel comfortable using an AI-based mental health support system at your university?</t>
  </si>
  <si>
    <t xml:space="preserve">3. Which features would you find most useful in an AI mental health system? (Select all that apply)</t>
  </si>
  <si>
    <t xml:space="preserve">4. What concerns would you have about using such a system?</t>
  </si>
  <si>
    <t xml:space="preserve">5. Would you recommend the use of AI mental health support systems for university students?</t>
  </si>
  <si>
    <t xml:space="preserve">1. What are the major causes of stress or emotional challenges among university students?</t>
  </si>
  <si>
    <t xml:space="preserve">2. How do you currently cope with stress, anxiety, or depression?</t>
  </si>
  <si>
    <t xml:space="preserve">3. What improvements would you suggest for an AI-based mental health support system?</t>
  </si>
  <si>
    <t>Yes</t>
  </si>
  <si>
    <t xml:space="preserve">21 – 23</t>
  </si>
  <si>
    <t>Male</t>
  </si>
  <si>
    <t xml:space="preserve">School of Computing and Information Science (SCIS)</t>
  </si>
  <si>
    <t xml:space="preserve">Bachelor of Information Systems </t>
  </si>
  <si>
    <t xml:space="preserve">Year 3</t>
  </si>
  <si>
    <t xml:space="preserve">Living with family/guardians</t>
  </si>
  <si>
    <t xml:space="preserve">2 – 4 hours</t>
  </si>
  <si>
    <t xml:space="preserve">Not employed</t>
  </si>
  <si>
    <t xml:space="preserve">Not at all</t>
  </si>
  <si>
    <t xml:space="preserve">Several days</t>
  </si>
  <si>
    <t xml:space="preserve">More than half the days</t>
  </si>
  <si>
    <t xml:space="preserve">Fairly often</t>
  </si>
  <si>
    <t>Sometimes</t>
  </si>
  <si>
    <t xml:space="preserve">Almost never</t>
  </si>
  <si>
    <t>No</t>
  </si>
  <si>
    <t xml:space="preserve">Anonymous counseling support, Stress management tips, Emergency mental health referrals</t>
  </si>
  <si>
    <t xml:space="preserve">Privacy and confidentiality, Accuracy of advice</t>
  </si>
  <si>
    <t xml:space="preserve">Academic performance 
Relationships and dating
Financial constraints </t>
  </si>
  <si>
    <t xml:space="preserve">Take walks.
Talk to a trusted friend
Pray to God</t>
  </si>
  <si>
    <t xml:space="preserve">It should be easy to use and provide the necessary information.</t>
  </si>
  <si>
    <t xml:space="preserve">Above 26</t>
  </si>
  <si>
    <t xml:space="preserve">Faculty of Science</t>
  </si>
  <si>
    <t>BLIS</t>
  </si>
  <si>
    <t xml:space="preserve">Year 2</t>
  </si>
  <si>
    <t xml:space="preserve">Off-campus hostels</t>
  </si>
  <si>
    <t xml:space="preserve">6 – 8 hours</t>
  </si>
  <si>
    <t xml:space="preserve">Full-time employment</t>
  </si>
  <si>
    <t xml:space="preserve">Nearly everyday</t>
  </si>
  <si>
    <t xml:space="preserve">Very often</t>
  </si>
  <si>
    <t>Maybe</t>
  </si>
  <si>
    <t xml:space="preserve">Stress management tips</t>
  </si>
  <si>
    <t xml:space="preserve">Privacy and confidentiality</t>
  </si>
  <si>
    <t xml:space="preserve">Too much work load</t>
  </si>
  <si>
    <t xml:space="preserve">Listening to music</t>
  </si>
  <si>
    <t xml:space="preserve">Reduce on questions</t>
  </si>
  <si>
    <t>Female</t>
  </si>
  <si>
    <t xml:space="preserve">Bachelors of Information Systems</t>
  </si>
  <si>
    <t xml:space="preserve">5 – 6 hours</t>
  </si>
  <si>
    <t xml:space="preserve">Nearly every day</t>
  </si>
  <si>
    <t xml:space="preserve">Daily wellness check-ins, AI chatbot conversations</t>
  </si>
  <si>
    <t xml:space="preserve">Accuracy of advice, Fear of judgment, Data security</t>
  </si>
  <si>
    <t xml:space="preserve">Financial problems </t>
  </si>
  <si>
    <t xml:space="preserve">Relaxing and having </t>
  </si>
  <si>
    <t xml:space="preserve">Fairness and transparency </t>
  </si>
  <si>
    <t>BIST</t>
  </si>
  <si>
    <t xml:space="preserve">On-campus residence</t>
  </si>
  <si>
    <t xml:space="preserve">Less than 2 hours</t>
  </si>
  <si>
    <t>Never</t>
  </si>
  <si>
    <t xml:space="preserve">Mood tracking</t>
  </si>
  <si>
    <t xml:space="preserve">Accuracy of advice</t>
  </si>
  <si>
    <t xml:space="preserve">Lack of food </t>
  </si>
  <si>
    <t xml:space="preserve">Listening music </t>
  </si>
  <si>
    <t xml:space="preserve">Chatting bot</t>
  </si>
  <si>
    <t>BITC</t>
  </si>
  <si>
    <t xml:space="preserve">Year 1</t>
  </si>
  <si>
    <t xml:space="preserve">Anonymous counseling support, Stress management tips, Mood tracking, Academic stress guidance</t>
  </si>
  <si>
    <t xml:space="preserve">Relationships </t>
  </si>
  <si>
    <t xml:space="preserve">Watch movies </t>
  </si>
  <si>
    <t xml:space="preserve">Feel like it's perfect </t>
  </si>
  <si>
    <t xml:space="preserve">Stress management tips, Mood tracking, Emergency mental health referrals, Academic stress guidance, Daily wellness check-ins, Meditation and relaxation exercises</t>
  </si>
  <si>
    <t xml:space="preserve">Privacy and confidentiality, Accuracy of advice, Lack of human interaction</t>
  </si>
  <si>
    <t>Academics</t>
  </si>
  <si>
    <t xml:space="preserve">Have fun to forget stress</t>
  </si>
  <si>
    <t xml:space="preserve">Provide solutions</t>
  </si>
  <si>
    <t xml:space="preserve">Bachelor of information technology and computing </t>
  </si>
  <si>
    <t xml:space="preserve">Nearly everday</t>
  </si>
  <si>
    <t xml:space="preserve">Anonymous counseling support, Stress management tips, Academic stress guidance, Meditation and relaxation exercises, AI chatbot conversations</t>
  </si>
  <si>
    <t xml:space="preserve">Privacy and confidentiality, Fear of judgment</t>
  </si>
  <si>
    <t xml:space="preserve">Financial instabilities,relationships,family issues and academic pressure.</t>
  </si>
  <si>
    <t xml:space="preserve">I'll say listen to music sometimes or even cry to let it out.</t>
  </si>
  <si>
    <t xml:space="preserve">Privacy,confidentiality and data security.</t>
  </si>
  <si>
    <t xml:space="preserve">Bachelor of information technology and Computing </t>
  </si>
  <si>
    <t xml:space="preserve">Anonymous counseling support, Mood tracking, AI chatbot conversations</t>
  </si>
  <si>
    <t xml:space="preserve">Privacy and confidentiality, Data security</t>
  </si>
  <si>
    <t xml:space="preserve">Poverty 
Parental pressure </t>
  </si>
  <si>
    <t xml:space="preserve">Having leisure activities </t>
  </si>
  <si>
    <t xml:space="preserve">Applications to chart with incase of stress </t>
  </si>
  <si>
    <t xml:space="preserve">24 – 26</t>
  </si>
  <si>
    <t xml:space="preserve">Data security</t>
  </si>
  <si>
    <t xml:space="preserve">Tuition </t>
  </si>
  <si>
    <t xml:space="preserve">Social interactions </t>
  </si>
  <si>
    <t xml:space="preserve">Daily chech ups</t>
  </si>
  <si>
    <t xml:space="preserve">Bachelor's of information technology and computing </t>
  </si>
  <si>
    <t xml:space="preserve">Part-time employment</t>
  </si>
  <si>
    <t xml:space="preserve">Anonymous counseling support, Stress management tips, Mood tracking, Emergency mental health referrals, Academic stress guidance, Daily wellness check-ins, Meditation and relaxation exercises, AI chatbot conversations</t>
  </si>
  <si>
    <t xml:space="preserve">Privacy and confidentiality, Accuracy of advice, Fear of judgment, Lack of human interaction, Data security</t>
  </si>
  <si>
    <t xml:space="preserve">Debts </t>
  </si>
  <si>
    <t xml:space="preserve">Social media </t>
  </si>
  <si>
    <t xml:space="preserve">Support </t>
  </si>
  <si>
    <t xml:space="preserve">Information technology and computing </t>
  </si>
  <si>
    <t xml:space="preserve">Finance </t>
  </si>
  <si>
    <t xml:space="preserve">I cry</t>
  </si>
  <si>
    <t xml:space="preserve">Counselling </t>
  </si>
  <si>
    <t>Day</t>
  </si>
  <si>
    <t>Poverty</t>
  </si>
  <si>
    <t xml:space="preserve">I eat </t>
  </si>
  <si>
    <t xml:space="preserve">Should be able to inform people to come help you </t>
  </si>
  <si>
    <t xml:space="preserve">Anonymous counseling support</t>
  </si>
  <si>
    <t xml:space="preserve">Over workloads financial pressures, career uncertainty and social relationships challenges </t>
  </si>
  <si>
    <t xml:space="preserve">I manage stress through exercise, good sleep, mindfulness, and staying connected with supportive friends and family. When I feel overwhelmed, I take time to regroup, prioritize tasks, and seek support when needed.</t>
  </si>
  <si>
    <t xml:space="preserve">Improvements could include better personalization, stronger privacy protections, more evidence-based resources, improved crisis support, and clearer communication about the AI's capabilities and limitations. Accessibility and cultural sensitivity should also be prioritized.</t>
  </si>
  <si>
    <t xml:space="preserve">Faculty of Agriculture</t>
  </si>
  <si>
    <t xml:space="preserve">Morning </t>
  </si>
  <si>
    <t xml:space="preserve">Poverty </t>
  </si>
  <si>
    <t xml:space="preserve">Playing football 
</t>
  </si>
  <si>
    <t xml:space="preserve">Network </t>
  </si>
  <si>
    <t xml:space="preserve">Bachelor of science in statistics </t>
  </si>
  <si>
    <t xml:space="preserve">Anonymous counseling support, Stress management tips, Academic stress guidance, Daily wellness check-ins, AI chatbot conversations</t>
  </si>
  <si>
    <t xml:space="preserve">Accuracy of advice, Fear of judgment, Lack of human interaction</t>
  </si>
  <si>
    <t xml:space="preserve">Tests, exams  and relationships </t>
  </si>
  <si>
    <t xml:space="preserve">Talking to a friend </t>
  </si>
  <si>
    <t xml:space="preserve">No suggestion </t>
  </si>
  <si>
    <t xml:space="preserve">Fear of judgment, Lack of human interaction, Ignorance of others </t>
  </si>
  <si>
    <t xml:space="preserve">Lack of money and compiling coursework more so presentations</t>
  </si>
  <si>
    <t xml:space="preserve">Eating junk food and listening to music </t>
  </si>
  <si>
    <t xml:space="preserve">Nothing I don't trust AI just like I don't trust People</t>
  </si>
  <si>
    <t xml:space="preserve">Anonymous counseling support, Stress management tips, Mood tracking, Emergency mental health referrals, Academic stress guidance, Meditation and relaxation exercises</t>
  </si>
  <si>
    <t xml:space="preserve">Privacy and confidentiality, Accuracy of advice, Fear of judgment, Data security</t>
  </si>
  <si>
    <t xml:space="preserve">Academics </t>
  </si>
  <si>
    <t xml:space="preserve">I don’t know </t>
  </si>
  <si>
    <t xml:space="preserve">School of Management &amp; Entrepreneurship (SOME)</t>
  </si>
  <si>
    <t>BAF</t>
  </si>
  <si>
    <t>Finance</t>
  </si>
  <si>
    <t xml:space="preserve">Talk to someone </t>
  </si>
  <si>
    <t xml:space="preserve">Enhancing security and data privacy</t>
  </si>
  <si>
    <t xml:space="preserve">Bachelor of Physiotherapy </t>
  </si>
  <si>
    <t xml:space="preserve">Anonymous counseling support, Stress management tips, Academic stress guidance, Meditation and relaxation exercises</t>
  </si>
  <si>
    <t xml:space="preserve">Privacy and confidentiality, Fear of judgment, Data security</t>
  </si>
  <si>
    <t xml:space="preserve">Too much course work with less time </t>
  </si>
  <si>
    <t xml:space="preserve">confidentiality </t>
  </si>
  <si>
    <t xml:space="preserve">School of Built Environment (SOBE)</t>
  </si>
  <si>
    <t xml:space="preserve">Bachelor of Architecture</t>
  </si>
  <si>
    <t xml:space="preserve">Anonymous counseling support, Emergency mental health referrals, Meditation and relaxation exercises, AI chatbot conversations</t>
  </si>
  <si>
    <t xml:space="preserve">Finances, various deadlines,</t>
  </si>
  <si>
    <t>Isolation</t>
  </si>
  <si>
    <t xml:space="preserve">Give referrals to actual health personnel or institutions for assumed diagnosis</t>
  </si>
  <si>
    <t xml:space="preserve">Faculty of Social Sciences</t>
  </si>
  <si>
    <t xml:space="preserve">Fear of judgment</t>
  </si>
  <si>
    <t>Hunger</t>
  </si>
  <si>
    <t xml:space="preserve">Sleeping </t>
  </si>
  <si>
    <t xml:space="preserve">Be more realistic </t>
  </si>
  <si>
    <t xml:space="preserve">Faculty of Engineering</t>
  </si>
  <si>
    <t xml:space="preserve">Bachelors of engineering in Automotive and Power Engineering </t>
  </si>
  <si>
    <t xml:space="preserve">Privacy and confidentiality, Lack of human interaction, Data security</t>
  </si>
  <si>
    <t xml:space="preserve">Finances and life after campus plus finding internships and employment </t>
  </si>
  <si>
    <t xml:space="preserve">I seek support from family and friends</t>
  </si>
  <si>
    <t xml:space="preserve">More personalised advice should be disseminated </t>
  </si>
  <si>
    <t xml:space="preserve">Land surveying </t>
  </si>
  <si>
    <t xml:space="preserve">Year 4</t>
  </si>
  <si>
    <t xml:space="preserve">Stress management tips, Mood tracking, Emergency mental health referrals, Academic stress guidance</t>
  </si>
  <si>
    <t xml:space="preserve">Privacy and confidentiality, Lack of human interaction</t>
  </si>
  <si>
    <t xml:space="preserve">Combined responsibility both at campus and personnel responsibilities </t>
  </si>
  <si>
    <t xml:space="preserve">Thinking guidance from counsellors</t>
  </si>
  <si>
    <t xml:space="preserve">Protect personal confidentiality </t>
  </si>
  <si>
    <t xml:space="preserve">Bsc Survey and land informations systems</t>
  </si>
  <si>
    <t xml:space="preserve">Meditation and relaxation exercises</t>
  </si>
  <si>
    <t xml:space="preserve">Keep busy </t>
  </si>
  <si>
    <t xml:space="preserve">Chatbot </t>
  </si>
  <si>
    <t xml:space="preserve">Civil engineering </t>
  </si>
  <si>
    <t xml:space="preserve">Daily wellness check-ins</t>
  </si>
  <si>
    <t xml:space="preserve">Privacy and confidentiality, Accuracy of advice, Lack of human interaction, Data security</t>
  </si>
  <si>
    <t xml:space="preserve">Finances and relationships </t>
  </si>
  <si>
    <t xml:space="preserve">I do something that I can be successful at, so it takes my mind off the stress </t>
  </si>
  <si>
    <t xml:space="preserve">Ai should ont handle mental health </t>
  </si>
  <si>
    <t>BIS</t>
  </si>
  <si>
    <t xml:space="preserve">Anonymous counseling support, Stress management tips, Mood tracking, Daily wellness check-ins, Meditation and relaxation exercises, AI chatbot conversations</t>
  </si>
  <si>
    <t xml:space="preserve">Lack of financial support.
Hectic amounts of course work.
Unforeseen circumstances e.g. Theft of property at hostel.
Fake relationships </t>
  </si>
  <si>
    <t xml:space="preserve">Go for a walk.
Talk to a trusted person e.g. in my case a family member. </t>
  </si>
  <si>
    <t xml:space="preserve">I have non at the moment</t>
  </si>
  <si>
    <t xml:space="preserve">Surveying and information system </t>
  </si>
  <si>
    <t xml:space="preserve">AI chatbot conversations</t>
  </si>
  <si>
    <t xml:space="preserve">Accuracy of advice, Lack of human interaction, Data security</t>
  </si>
  <si>
    <t>Pray</t>
  </si>
  <si>
    <t xml:space="preserve">Not sure</t>
  </si>
  <si>
    <t xml:space="preserve">Evening </t>
  </si>
  <si>
    <t xml:space="preserve">Academic pressure 
Financial constraints 
Psychological and personal issues </t>
  </si>
  <si>
    <t xml:space="preserve">Listening to music
Talking to my friend </t>
  </si>
  <si>
    <t xml:space="preserve">It should improve on the privacy of the users 
Data protection </t>
  </si>
  <si>
    <t xml:space="preserve">School of Education</t>
  </si>
  <si>
    <t>Bte</t>
  </si>
  <si>
    <t>Test</t>
  </si>
  <si>
    <t xml:space="preserve">Watch TikTok </t>
  </si>
  <si>
    <t xml:space="preserve">Provide data</t>
  </si>
  <si>
    <t xml:space="preserve">Academic pressure and fear of failure </t>
  </si>
  <si>
    <t xml:space="preserve">I ignore it, watch movies </t>
  </si>
  <si>
    <t xml:space="preserve">Add some professional therapists, for the human touch. It's needed </t>
  </si>
  <si>
    <t xml:space="preserve">Stress management tips, Academic stress guidance, AI chatbot conversations</t>
  </si>
  <si>
    <t xml:space="preserve">Privacy and confidentiality, Accuracy of advice, Data security</t>
  </si>
  <si>
    <t xml:space="preserve">Work over load</t>
  </si>
  <si>
    <t xml:space="preserve">Through proper time management </t>
  </si>
  <si>
    <t xml:space="preserve">There should be transparency on how the collected data is stored and used</t>
  </si>
  <si>
    <t xml:space="preserve">Anonymous counseling support, Stress management tips</t>
  </si>
  <si>
    <t xml:space="preserve">Much word loads </t>
  </si>
  <si>
    <t>Resting</t>
  </si>
  <si>
    <t xml:space="preserve">Full time support</t>
  </si>
  <si>
    <t xml:space="preserve">Anonymous counseling support, Stress management tips, Mood tracking</t>
  </si>
  <si>
    <t xml:space="preserve">Accuracy of advice, Fear of judgment</t>
  </si>
  <si>
    <t>Socialize</t>
  </si>
  <si>
    <t xml:space="preserve">Be able to use local language because some of us fail to use English in stress times</t>
  </si>
  <si>
    <t xml:space="preserve">Anonymous counseling support, Academic stress guidance, Daily wellness check-ins, Meditation and relaxation exercises</t>
  </si>
  <si>
    <t xml:space="preserve">Finances and academic pressure </t>
  </si>
  <si>
    <t xml:space="preserve">Cry and talk to my parent </t>
  </si>
  <si>
    <t xml:space="preserve">Should recommend you to talk to a human being </t>
  </si>
  <si>
    <t xml:space="preserve">BACHELOR OF INFORMATION SYSTEMS </t>
  </si>
  <si>
    <t xml:space="preserve">Anonymous counseling support, Stress management tips, Emergency mental health referrals, Academic stress guidance, Daily wellness check-ins</t>
  </si>
  <si>
    <t xml:space="preserve">Academic pressure and financial difficulties </t>
  </si>
  <si>
    <t xml:space="preserve">By talking to people I trust, listening to music, taking walks, resting and spending time doing things that help me relax</t>
  </si>
  <si>
    <t xml:space="preserve">The system should be user-friendly, confidential, available at all times, provide personalized advice and refer users to professional help when needed. Regular check-ins and mental health resources would also make it more effective.”</t>
  </si>
  <si>
    <t xml:space="preserve">Anonymous counseling support, Stress management tips, Emergency mental health referrals, Daily wellness check-ins, Meditation and relaxation exercises, AI chatbot conversations</t>
  </si>
  <si>
    <t xml:space="preserve">Failure to balance life circumstances </t>
  </si>
  <si>
    <t>Sleep</t>
  </si>
  <si>
    <t xml:space="preserve">Providing applicable and realistic solutions </t>
  </si>
  <si>
    <t xml:space="preserve">Academic stress guidance</t>
  </si>
  <si>
    <t xml:space="preserve">Practice </t>
  </si>
  <si>
    <t xml:space="preserve">Information Systems </t>
  </si>
  <si>
    <t xml:space="preserve">Financial challenges,  relationship problems </t>
  </si>
  <si>
    <t xml:space="preserve">Prayer </t>
  </si>
  <si>
    <t xml:space="preserve">Privacy </t>
  </si>
  <si>
    <t xml:space="preserve">Blancing between personal life and Academic life</t>
  </si>
  <si>
    <t xml:space="preserve">I keep composed, knowing that I can handle each and every day well</t>
  </si>
  <si>
    <t xml:space="preserve">To be able to diagnose minor diseases without use of blood samples </t>
  </si>
  <si>
    <t xml:space="preserve">Stress management tips, Meditation and relaxation exercises</t>
  </si>
  <si>
    <t xml:space="preserve">Unemployment </t>
  </si>
  <si>
    <t xml:space="preserve">Working on myself </t>
  </si>
  <si>
    <t xml:space="preserve">Getting sample data from the population </t>
  </si>
  <si>
    <t xml:space="preserve">Anonymous counseling support, Stress management tips, Mood tracking, Emergency mental health referrals, Academic stress guidance, Daily wellness check-ins, AI chatbot conversations</t>
  </si>
  <si>
    <t xml:space="preserve">Financial constraints </t>
  </si>
  <si>
    <t xml:space="preserve">Listening to music, sometimes unfortunately I find sad music soothing  </t>
  </si>
  <si>
    <t xml:space="preserve">Should accurate first categorically identify the kind of user seeking support. In this, it will be able to narrow down the model scope thus providing nearly accurate support </t>
  </si>
  <si>
    <t xml:space="preserve">Anonymous counseling support, Daily wellness check-ins, Meditation and relaxation exercises</t>
  </si>
  <si>
    <t xml:space="preserve">Financial issues and relationships</t>
  </si>
  <si>
    <t xml:space="preserve">Take a walk</t>
  </si>
  <si>
    <t xml:space="preserve">Relaxing exercises</t>
  </si>
  <si>
    <t xml:space="preserve">Bachelor of information science </t>
  </si>
  <si>
    <t xml:space="preserve">Stress management tips, Emergency mental health referrals, Academic stress guidance, AI chatbot conversations</t>
  </si>
  <si>
    <t xml:space="preserve">Academic pressure </t>
  </si>
  <si>
    <t xml:space="preserve">Listen to music</t>
  </si>
  <si>
    <t xml:space="preserve">Compliance with the data protection and privacy lact of 2019</t>
  </si>
  <si>
    <t xml:space="preserve">Anonymous counseling support, Daily wellness check-ins, Meditation and relaxation exercises, AI chatbot conversations</t>
  </si>
  <si>
    <t xml:space="preserve">Unknown future</t>
  </si>
  <si>
    <t xml:space="preserve">Watching Anime and listening to music</t>
  </si>
  <si>
    <t xml:space="preserve">data security and actual helpful information or advise </t>
  </si>
  <si>
    <t xml:space="preserve">Anonymous counseling support, Stress management tips, Mood tracking, Emergency mental health referrals, AI chatbot conversations</t>
  </si>
  <si>
    <t xml:space="preserve">Privacy and confidentiality, Accuracy of advice, Fear of judgment, Lack of human interaction, Data security, </t>
  </si>
  <si>
    <t xml:space="preserve">Anonymous Ai chats</t>
  </si>
  <si>
    <t xml:space="preserve">Bachelor in information systems </t>
  </si>
  <si>
    <t xml:space="preserve">Academics friends or financial issues </t>
  </si>
  <si>
    <t xml:space="preserve">Relax often </t>
  </si>
  <si>
    <t xml:space="preserve">Develop models that understands humans </t>
  </si>
  <si>
    <t xml:space="preserve">School of Art and Industrial Design</t>
  </si>
  <si>
    <t xml:space="preserve">Bachelor of Computer Graphics Design </t>
  </si>
  <si>
    <t xml:space="preserve">Anonymous counseling support, Mood tracking, Academic stress guidance, Daily wellness check-ins</t>
  </si>
  <si>
    <t xml:space="preserve">Relationships and probably family issues </t>
  </si>
  <si>
    <t xml:space="preserve">Prayer ans music</t>
  </si>
  <si>
    <t xml:space="preserve">Human recommendation interaction when necessary </t>
  </si>
  <si>
    <t xml:space="preserve">Information systems </t>
  </si>
  <si>
    <t xml:space="preserve">Stress management tips, Emergency mental health referrals, Meditation and relaxation exercises, AI chatbot conversations</t>
  </si>
  <si>
    <t xml:space="preserve">Finances , courseworks and final exams </t>
  </si>
  <si>
    <t xml:space="preserve">Sharing and interacting with my friends </t>
  </si>
  <si>
    <t xml:space="preserve">Data integrity </t>
  </si>
  <si>
    <t xml:space="preserve">Leisure </t>
  </si>
  <si>
    <t xml:space="preserve">More often</t>
  </si>
  <si>
    <t xml:space="preserve">Accuracy </t>
  </si>
  <si>
    <t xml:space="preserve">Bachelors of Public Administration and resource governance </t>
  </si>
  <si>
    <t xml:space="preserve">Lack of human interaction</t>
  </si>
  <si>
    <t xml:space="preserve">Financial struggles that cause them to make transactions that don’t glorify Vod,witchcraft,sex for money </t>
  </si>
  <si>
    <t xml:space="preserve">I plan my day and also trust God for what I don’t have</t>
  </si>
  <si>
    <t xml:space="preserve">To have more human ineractiont</t>
  </si>
  <si>
    <t xml:space="preserve">BIS evening</t>
  </si>
  <si>
    <t xml:space="preserve">Late tuition payment as well as limited physiological needs</t>
  </si>
  <si>
    <t xml:space="preserve">Counseling and guidance</t>
  </si>
  <si>
    <t xml:space="preserve">Integration with real life</t>
  </si>
  <si>
    <t xml:space="preserve">Faculty of Arts and Humanities</t>
  </si>
  <si>
    <t xml:space="preserve">Bachelor of Arts in Humanities (Journalism Major)</t>
  </si>
  <si>
    <t xml:space="preserve">Lack of money, hunger, too much coursework, tests and exams</t>
  </si>
  <si>
    <t xml:space="preserve">I take a walk from West End to East End and back</t>
  </si>
  <si>
    <t xml:space="preserve">It should address academic pressure, social isolation, and financial stress</t>
  </si>
  <si>
    <t xml:space="preserve">Money </t>
  </si>
  <si>
    <t>Sports</t>
  </si>
  <si>
    <t xml:space="preserve">More machine learning </t>
  </si>
  <si>
    <t xml:space="preserve">Faculty of Special Needs and Rehabilitation</t>
  </si>
  <si>
    <t xml:space="preserve">Community based rehabilitation </t>
  </si>
  <si>
    <t xml:space="preserve">Anonymous counseling support, Stress management tips, Academic stress guidance, Daily wellness check-ins</t>
  </si>
  <si>
    <t xml:space="preserve">Making myself busy with work </t>
  </si>
  <si>
    <t xml:space="preserve">Offering of counseling advice that people may need </t>
  </si>
  <si>
    <t xml:space="preserve">COMMUNITY BASED REHABILITATION </t>
  </si>
  <si>
    <t xml:space="preserve">ACADEMIC PRESSURE, FINANCIAL AND RELATIONSHIP CHALLENGES.</t>
  </si>
  <si>
    <t>NO</t>
  </si>
  <si>
    <t>HONESTY</t>
  </si>
  <si>
    <t xml:space="preserve">I pray </t>
  </si>
  <si>
    <t xml:space="preserve">To take part in campus </t>
  </si>
  <si>
    <t xml:space="preserve">Financial issues</t>
  </si>
  <si>
    <t xml:space="preserve">I listen to Gospel</t>
  </si>
  <si>
    <t xml:space="preserve">Counselling sessions </t>
  </si>
  <si>
    <t xml:space="preserve">information systems</t>
  </si>
  <si>
    <t xml:space="preserve">Anonymous counseling support, Stress management tips, Academic stress guidance, Daily wellness check-ins, Meditation and relaxation exercises, AI chatbot conversations</t>
  </si>
  <si>
    <t xml:space="preserve">Privacy and confidentiality, Fear of judgment, Lack of human interaction, Data security</t>
  </si>
  <si>
    <t xml:space="preserve">academic pressure and peer influence</t>
  </si>
  <si>
    <t xml:space="preserve">take some time to relax and mediate</t>
  </si>
  <si>
    <t xml:space="preserve">tracking </t>
  </si>
  <si>
    <t xml:space="preserve">Bachelor in Accounting and Finance </t>
  </si>
  <si>
    <t xml:space="preserve">Failure and finances</t>
  </si>
  <si>
    <t xml:space="preserve">Accessibility </t>
  </si>
  <si>
    <t xml:space="preserve">Anonymous counseling support, AI chatbot conversations</t>
  </si>
  <si>
    <t xml:space="preserve">Lack of basic needs </t>
  </si>
  <si>
    <t xml:space="preserve">Getting used </t>
  </si>
  <si>
    <t xml:space="preserve">Understanding the type of stress </t>
  </si>
  <si>
    <t xml:space="preserve">Anonymous counseling support, Stress management tips, Academic stress guidance, AI chatbot conversations</t>
  </si>
  <si>
    <t xml:space="preserve">Family affairs
Financial shortage</t>
  </si>
  <si>
    <t xml:space="preserve">Talking to a friend 
Meditation 
</t>
  </si>
  <si>
    <t xml:space="preserve">Anonymous conceling </t>
  </si>
  <si>
    <t xml:space="preserve">Privacy and confidentiality, </t>
  </si>
  <si>
    <t xml:space="preserve">Almost never </t>
  </si>
  <si>
    <t xml:space="preserve">Counseling </t>
  </si>
  <si>
    <t xml:space="preserve">Bachelor of information systems </t>
  </si>
  <si>
    <t xml:space="preserve">Acting like am not concerned </t>
  </si>
  <si>
    <t xml:space="preserve">It should be human based </t>
  </si>
  <si>
    <t xml:space="preserve">18 – 20</t>
  </si>
  <si>
    <t>Baid</t>
  </si>
  <si>
    <t xml:space="preserve">Anonymous counseling support, Stress management tips, Mood tracking, Meditation and relaxation exercises</t>
  </si>
  <si>
    <t>Money</t>
  </si>
  <si>
    <t xml:space="preserve">Play guitar </t>
  </si>
  <si>
    <t xml:space="preserve">Offline work</t>
  </si>
  <si>
    <t>BAID</t>
  </si>
  <si>
    <t xml:space="preserve">Lack of income </t>
  </si>
  <si>
    <t xml:space="preserve">Going for counseling and guidance </t>
  </si>
  <si>
    <t xml:space="preserve">It should be used even without data</t>
  </si>
  <si>
    <t xml:space="preserve">Mood tracking, Emergency mental health referrals, Daily wellness check-ins</t>
  </si>
  <si>
    <t>Finances</t>
  </si>
  <si>
    <t xml:space="preserve">Write about it in my note book..or play football</t>
  </si>
  <si>
    <t xml:space="preserve">It should be ofline ..and also consider data security</t>
  </si>
  <si>
    <t>Books</t>
  </si>
  <si>
    <t xml:space="preserve">Keeping quite</t>
  </si>
  <si>
    <t xml:space="preserve">Nothing </t>
  </si>
  <si>
    <t xml:space="preserve">Bachelors degree in community based rehabilitation </t>
  </si>
  <si>
    <t xml:space="preserve">Lack of money mostly </t>
  </si>
  <si>
    <t xml:space="preserve">I just try hanging out with friends just to clear my head</t>
  </si>
  <si>
    <t xml:space="preserve">Proper counseling among the youths </t>
  </si>
  <si>
    <t xml:space="preserve">Bachelor of Science in Accounting and Finance </t>
  </si>
  <si>
    <t xml:space="preserve">Stress management tips, Academic stress guidance, Meditation and relaxation exercises, AI chatbot conversations</t>
  </si>
  <si>
    <t xml:space="preserve">Work overload, unstable finances </t>
  </si>
  <si>
    <t xml:space="preserve">Attending guidance and counseling meetings, having a positive mindset </t>
  </si>
  <si>
    <t xml:space="preserve">Private security, advanced solutions </t>
  </si>
  <si>
    <t xml:space="preserve">Bachelor of science in accounting and  finance </t>
  </si>
  <si>
    <t xml:space="preserve">It's  mostly  financial  issues, relationships and academics.</t>
  </si>
  <si>
    <t xml:space="preserve">Chatting with family and going for outings to relax my mind sometimes  help.</t>
  </si>
  <si>
    <t xml:space="preserve">May be accuracy  in responses and being short and brief sometimes </t>
  </si>
  <si>
    <t xml:space="preserve">Bachelors degree in electrical engineering </t>
  </si>
  <si>
    <t xml:space="preserve">Anonymous counseling support, Stress management tips, Mood tracking, Daily wellness check-ins, Meditation and relaxation exercises</t>
  </si>
  <si>
    <t xml:space="preserve">Lack of money and peer pressure</t>
  </si>
  <si>
    <t>Meditating</t>
  </si>
  <si>
    <t xml:space="preserve">Confidentially </t>
  </si>
  <si>
    <t xml:space="preserve">Anonymous counseling support, Stress management tips, Emergency mental health referrals, Academic stress guidance, Meditation and relaxation exercises</t>
  </si>
  <si>
    <t xml:space="preserve">1.Inconsiderate lectures who tend to be mean in the manner in which they assess student's (a single test with no course work, attracts all 40marks)
2.Mandatory [full] tuition payment before sitting for end of semester examinations</t>
  </si>
  <si>
    <t xml:space="preserve">Pray to God about them and hope all will be fine</t>
  </si>
  <si>
    <t xml:space="preserve">Not really sure</t>
  </si>
  <si>
    <t xml:space="preserve">Bachelor o science in accounting and finance </t>
  </si>
  <si>
    <t xml:space="preserve">Mood tracking, Academic stress guidance, Daily wellness check-ins, AI chatbot conversations</t>
  </si>
  <si>
    <t xml:space="preserve">Mood tracking </t>
  </si>
  <si>
    <t xml:space="preserve">Add in questions that need our opinions</t>
  </si>
  <si>
    <t xml:space="preserve">Academic Pressure</t>
  </si>
  <si>
    <t xml:space="preserve">Social Support</t>
  </si>
  <si>
    <t xml:space="preserve">Greater Empathy: Developing more natural, warm, and conversational language patterns so the AI feels less robotic.</t>
  </si>
  <si>
    <t xml:space="preserve">Information Systems</t>
  </si>
  <si>
    <t>School</t>
  </si>
  <si>
    <t>Sensitization</t>
  </si>
  <si>
    <t xml:space="preserve">Bachelor of civil and building engineering </t>
  </si>
  <si>
    <t xml:space="preserve">Anonymous counseling support, Emergency mental health referrals, Academic stress guidance, Meditation and relaxation exercises, AI chatbot conversations</t>
  </si>
  <si>
    <t xml:space="preserve">Finance (upkeep), food, love</t>
  </si>
  <si>
    <t xml:space="preserve">Go clubbing, watch movies </t>
  </si>
  <si>
    <t xml:space="preserve">Emotion Detection e.g stress, depression
Crisis Detection e.g language with crisis aim like suicide 
</t>
  </si>
  <si>
    <t xml:space="preserve">Bachelor of community based rehabilitation</t>
  </si>
  <si>
    <t xml:space="preserve">Low finance and poor preformsnce</t>
  </si>
  <si>
    <t xml:space="preserve">Seek counselling and guidance</t>
  </si>
  <si>
    <t xml:space="preserve">Include human interactions</t>
  </si>
  <si>
    <t xml:space="preserve">Bachelor of Information systems </t>
  </si>
  <si>
    <t xml:space="preserve">Anonymous counseling support, Academic stress guidance, Daily wellness check-ins, AI chatbot conversations</t>
  </si>
  <si>
    <t xml:space="preserve">Music </t>
  </si>
  <si>
    <t xml:space="preserve">Improve on awareness </t>
  </si>
  <si>
    <t xml:space="preserve">Anonymous counseling support, Stress management tips, Mood tracking, Emergency mental health referrals</t>
  </si>
  <si>
    <t xml:space="preserve">CONTRADICTING BELIEFS</t>
  </si>
  <si>
    <t>SPORTS</t>
  </si>
  <si>
    <t xml:space="preserve">NOTHING YET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</si>
</sst>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m/d/yyyy h:mm:ss"/>
  </numFmts>
  <fonts count="3">
    <font>
      <sz val="10.000000"/>
      <color indexed="64"/>
      <name val="Arial"/>
      <scheme val="minor"/>
    </font>
    <font>
      <color theme="1"/>
      <name val="Arial"/>
      <scheme val="minor"/>
    </font>
    <font>
      <sz val="10.00000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6">
    <xf fontId="0" fillId="0" borderId="0" numFmtId="0" xfId="0" applyAlignment="1">
      <alignment readingOrder="0"/>
    </xf>
    <xf fontId="1" fillId="0" borderId="0" numFmtId="0" xfId="0" applyFont="1" applyAlignment="1">
      <alignment horizontal="left" readingOrder="0" vertical="center"/>
    </xf>
    <xf fontId="1" fillId="0" borderId="0" numFmtId="164" xfId="0" applyNumberFormat="1" applyFont="1" applyAlignment="1">
      <alignment readingOrder="0" vertical="center"/>
    </xf>
    <xf fontId="1" fillId="0" borderId="0" numFmtId="0" xfId="0" applyFont="1" applyAlignment="1">
      <alignment readingOrder="0" vertical="center"/>
    </xf>
    <xf fontId="1" fillId="0" borderId="0" numFmtId="0" xfId="0" applyFont="1" applyAlignment="1">
      <alignment vertical="center"/>
    </xf>
    <xf fontId="2" fillId="0" borderId="0" numFmtId="0" xfId="0" applyFont="1" applyAlignment="1">
      <alignment vertical="center"/>
    </xf>
  </cellXfs>
  <cellStyles count="1">
    <cellStyle name="Normal" xfId="0" builtinId="0"/>
  </cellStyles>
  <dxfs count="4">
    <dxf>
      <font/>
      <fill>
        <patternFill patternType="solid">
          <fgColor indexed="65"/>
          <bgColor indexed="65"/>
        </patternFill>
      </fill>
      <border>
        <left/>
        <right/>
        <top/>
        <bottom/>
        <diagonal/>
      </border>
    </dxf>
    <dxf>
      <font/>
      <fill>
        <patternFill patternType="solid">
          <fgColor rgb="FF5B3F86"/>
          <bgColor rgb="FF5B3F86"/>
        </patternFill>
      </fill>
      <border>
        <left/>
        <right/>
        <top/>
        <bottom/>
        <diagonal/>
      </border>
    </dxf>
    <dxf>
      <font/>
      <fill>
        <patternFill patternType="solid">
          <fgColor rgb="FFF8F9FA"/>
          <bgColor rgb="FFF8F9FA"/>
        </patternFill>
      </fill>
      <border>
        <left/>
        <right/>
        <top/>
        <bottom/>
        <diagonal/>
      </border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  <diagonal/>
      </border>
    </dxf>
  </dxfs>
  <tableStyles count="1" defaultTableStyle="TableStyleMedium2" defaultPivotStyle="PivotStyleLight16">
    <tableStyle name="Form Responses 1-style" pivot="0" count="4">
      <tableStyleElement type="firstRowStripe" size="1" dxfId="0"/>
      <tableStyleElement type="headerRow" size="1" dxfId="1"/>
      <tableStyleElement type="secondRowStripe" size="1" dxfId="2"/>
      <tableStyleElement type="wholeTable" size="0" dxfId="3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displayName="Form_Responses" ref="A1:BX80">
  <tableColumns count="76">
    <tableColumn id="1" name="Timestamp"/>
    <tableColumn id="2" name="Do you voluntarily agree to participate in this study?"/>
    <tableColumn id="3" name="1. Age"/>
    <tableColumn id="4" name="2. Gender"/>
    <tableColumn id="5" name="3. Faculty/School/College"/>
    <tableColumn id="6" name="4. Program of study"/>
    <tableColumn id="7" name="5. Year of Study"/>
    <tableColumn id="8" name="6. Residence Status"/>
    <tableColumn id="9" name="7. Average Daily Academic Study Hours"/>
    <tableColumn id="10" name="8. Employment Status"/>
    <tableColumn id="11" name="1. Feeling little interest or pleasure in doing things."/>
    <tableColumn id="12" name="Score"/>
    <tableColumn id="13" name="2. Feeling down, hopeless, or emotionally low."/>
    <tableColumn id="14" name="Score2"/>
    <tableColumn id="15" name="3. Trouble sleeping or sleeping too much."/>
    <tableColumn id="16" name="Score3"/>
    <tableColumn id="17" name="4. Feeling tired or having little energy."/>
    <tableColumn id="18" name="Score4"/>
    <tableColumn id="19" name="5. Poor appetite or overeating."/>
    <tableColumn id="20" name="Score5"/>
    <tableColumn id="21" name="6. Feeling bad about yourself or feeling like a failure."/>
    <tableColumn id="22" name="Score6"/>
    <tableColumn id="23" name="7. Trouble concentrating during lectures or private study."/>
    <tableColumn id="24" name="Score7"/>
    <tableColumn id="25" name="8. Moving or speaking unusually slowly, or feeling restless."/>
    <tableColumn id="26" name="Score8"/>
    <tableColumn id="27" name="9. Thoughts of hurting yourself or feeling better off dead."/>
    <tableColumn id="28" name="Score9"/>
    <tableColumn id="29" name="Depression Score "/>
    <tableColumn id="30" name="Depression Severity"/>
    <tableColumn id="31" name="1. Feeling nervous, anxious, or on edge."/>
    <tableColumn id="32" name="Score16"/>
    <tableColumn id="33" name="2. Not being able to stop worrying."/>
    <tableColumn id="34" name="Score10"/>
    <tableColumn id="35" name="3. Worrying too much about academics or personal life."/>
    <tableColumn id="36" name="Score11"/>
    <tableColumn id="37" name="4. Trouble relaxing."/>
    <tableColumn id="38" name="Score12"/>
    <tableColumn id="39" name="5. Becoming easily annoyed or irritable."/>
    <tableColumn id="40" name="Score13"/>
    <tableColumn id="41" name="6. Feeling afraid as if something bad might happen."/>
    <tableColumn id="42" name="Score14"/>
    <tableColumn id="43" name="7. Being so restless that it is hard to sit still."/>
    <tableColumn id="44" name="Score15"/>
    <tableColumn id="45" name="Anxiety Score"/>
    <tableColumn id="46" name="Anxiety Severity"/>
    <tableColumn id="47" name="1. In the last month, how often have you been upset because of unexpected situations related to academics, finances, or personal life?"/>
    <tableColumn id="48" name="Score17"/>
    <tableColumn id="49" name="2. In the last month, how often have you felt unable to control important things in your academic or personal life?"/>
    <tableColumn id="50" name="Score18"/>
    <tableColumn id="51" name="3. In the last month, how often have you felt nervous or stressed because of university responsibilities or personal challenges?"/>
    <tableColumn id="52" name="Score19"/>
    <tableColumn id="53" name="4. In the last month, how often have you felt confident about your ability to handle academic or personal problems?"/>
    <tableColumn id="54" name="Score20"/>
    <tableColumn id="55" name="5. In the last month, how often have you felt that things were going well in your studies or personal life?"/>
    <tableColumn id="56" name="Score21"/>
    <tableColumn id="57" name="6. In the last month, how often have you felt unable to cope with coursework, deadlines, or daily responsibilities?"/>
    <tableColumn id="58" name="Score22"/>
    <tableColumn id="59" name="7. In the last month, how often have you been able to control irritations or frustrations in your life?"/>
    <tableColumn id="60" name="Score23"/>
    <tableColumn id="61" name="8. In the last month, how often have you felt that you were managing your academic and personal responsibilities well?"/>
    <tableColumn id="62" name="Score24"/>
    <tableColumn id="63" name="9. In the last month, how often have you been angered or frustrated by situations outside your control, such as finances, academics, or relationships?"/>
    <tableColumn id="64" name="Score25"/>
    <tableColumn id="65" name="10. In the last month, how often have you felt that difficulties were piling up so much that you could not overcome them?"/>
    <tableColumn id="66" name="Score26"/>
    <tableColumn id="67" name="Anxiety Score2"/>
    <tableColumn id="68" name="Anxiety Severity2"/>
    <tableColumn id="69" name="1. Have you ever used a digital mental health platform or chatbot before?"/>
    <tableColumn id="70" name="2. Would you feel comfortable using an AI-based mental health support system at your university?"/>
    <tableColumn id="71" name="3. Which features would you find most useful in an AI mental health system? (Select all that apply)"/>
    <tableColumn id="72" name="4. What concerns would you have about using such a system?"/>
    <tableColumn id="73" name="5. Would you recommend the use of AI mental health support systems for university students?"/>
    <tableColumn id="74" name="1. What are the major causes of stress or emotional challenges among university students?"/>
    <tableColumn id="75" name="2. How do you currently cope with stress, anxiety, or depression?"/>
    <tableColumn id="76" name="3. What improvements would you suggest for an AI-based mental health support system?"/>
  </tableColumns>
  <tableStyleInfo name="Form Responses 1-style" showFirstColumn="1" showLastColumn="1" showRowStripes="1" showColumnStripes="0"/>
</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topLeftCell="A1" zoomScale="100" workbookViewId="0">
      <pane ySplit="1" topLeftCell="A2" activePane="bottomLeft" state="frozen"/>
      <selection activeCell="B3" activeCellId="0" sqref="B3"/>
    </sheetView>
  </sheetViews>
  <sheetFormatPr defaultColWidth="12.630000000000001" defaultRowHeight="15.75" customHeight="1"/>
  <cols>
    <col bestFit="1" customWidth="1" min="1" max="1" width="16.57421875"/>
    <col customWidth="1" min="2" max="2" width="13.28125"/>
    <col customWidth="1" min="3" max="3" width="18.879999999999999"/>
    <col bestFit="1" customWidth="1" min="4" max="4" width="11.28125"/>
    <col customWidth="1" min="5" max="5" width="23.140625"/>
    <col customWidth="1" min="6" max="6" width="20.8515625"/>
    <col customWidth="1" min="7" max="7" width="18.879999999999999"/>
    <col bestFit="1" customWidth="1" min="8" max="8" width="23.7109375"/>
    <col bestFit="1" customWidth="1" min="9" max="9" width="36.8515625"/>
    <col bestFit="1" customWidth="1" min="10" max="10" width="21.7109375"/>
    <col customWidth="1" min="11" max="11" width="25.421875"/>
    <col customWidth="1" min="12" max="12" width="14.00390625"/>
    <col customWidth="1" min="13" max="13" width="23.8515625"/>
    <col customWidth="1" min="14" max="14" width="16.00390625"/>
    <col customWidth="1" min="15" max="15" width="23.8515625"/>
    <col customWidth="1" min="16" max="16" width="15.140625"/>
    <col customWidth="1" min="17" max="17" width="24.140625"/>
    <col customWidth="1" min="18" max="18" width="15.7109375"/>
    <col customWidth="1" min="19" max="19" width="23.140625"/>
    <col customWidth="1" min="20" max="20" width="16.140625"/>
    <col customWidth="1" min="21" max="21" width="23.140625"/>
    <col customWidth="1" min="22" max="22" width="16.421875"/>
    <col customWidth="1" min="23" max="23" width="22.57421875"/>
    <col customWidth="1" min="24" max="24" width="15.140625"/>
    <col customWidth="1" min="25" max="25" width="21.57421875"/>
    <col customWidth="1" min="26" max="26" width="14.140625"/>
    <col customWidth="1" min="27" max="27" width="21.57421875"/>
    <col customWidth="1" min="28" max="28" width="12.8515625"/>
    <col customWidth="1" min="29" max="29" width="16.00390625"/>
    <col customWidth="1" min="30" max="30" width="28.140625"/>
    <col customWidth="1" min="31" max="31" width="23.140625"/>
    <col customWidth="1" min="32" max="32" width="15.140625"/>
    <col customWidth="1" min="33" max="33" width="23.140625"/>
    <col customWidth="1" min="34" max="34" width="14.7109375"/>
    <col customWidth="1" min="35" max="35" width="21.57421875"/>
    <col customWidth="1" min="36" max="36" width="14.421875"/>
    <col customWidth="1" min="37" max="37" width="23.421875"/>
    <col customWidth="1" min="38" max="38" width="12.140625"/>
    <col bestFit="1" customWidth="1" min="39" max="39" width="35.8515625"/>
    <col customWidth="1" min="40" max="40" width="16.8515625"/>
    <col customWidth="1" min="41" max="41" width="25.140625"/>
    <col customWidth="1" min="42" max="42" width="16.28125"/>
    <col customWidth="1" min="43" max="43" width="21.57421875"/>
    <col customWidth="1" min="44" max="44" width="13.421875"/>
    <col customWidth="1" min="45" max="45" width="15.140625"/>
    <col customWidth="1" min="46" max="46" width="18.57421875"/>
    <col customWidth="1" min="47" max="47" width="17.7109375"/>
    <col customWidth="1" min="48" max="48" width="14.57421875"/>
    <col customWidth="1" min="49" max="49" width="15.57421875"/>
    <col customWidth="1" min="50" max="50" width="15.8515625"/>
    <col customWidth="1" min="51" max="51" width="14.8515625"/>
    <col customWidth="1" min="52" max="52" width="13.140625"/>
    <col customWidth="1" min="53" max="53" width="15.00390625"/>
    <col customWidth="1" min="54" max="54" width="13.421875"/>
    <col customWidth="1" min="55" max="55" width="16.00390625"/>
    <col customWidth="1" min="56" max="56" width="13.57421875"/>
    <col customWidth="1" min="57" max="57" width="16.421875"/>
    <col customWidth="1" min="58" max="58" width="13.57421875"/>
    <col customWidth="1" min="59" max="59" width="16.28125"/>
    <col customWidth="1" min="60" max="60" width="14.8515625"/>
    <col customWidth="1" min="61" max="61" width="16.7109375"/>
    <col customWidth="1" min="62" max="62" width="13.57421875"/>
    <col customWidth="1" min="63" max="63" width="16.00390625"/>
    <col customWidth="1" min="64" max="64" width="13.28125"/>
    <col customWidth="1" min="65" max="65" width="14.7109375"/>
    <col customWidth="1" min="66" max="66" width="12.421875"/>
    <col customWidth="1" min="67" max="67" width="15.140625"/>
    <col customWidth="1" min="68" max="68" width="17.7109375"/>
    <col customWidth="1" min="69" max="69" width="15.140625"/>
    <col customWidth="1" min="70" max="75" width="18.879999999999999"/>
    <col bestFit="1" min="76" max="76" width="225.0039062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</row>
    <row r="2" ht="22.5" customHeight="1">
      <c r="A2" s="2">
        <v>46190.897831793976</v>
      </c>
      <c r="B2" s="3" t="s">
        <v>76</v>
      </c>
      <c r="C2" s="3" t="s">
        <v>77</v>
      </c>
      <c r="D2" s="3" t="s">
        <v>78</v>
      </c>
      <c r="E2" s="3" t="s">
        <v>79</v>
      </c>
      <c r="F2" s="3" t="s">
        <v>80</v>
      </c>
      <c r="G2" s="3" t="s">
        <v>81</v>
      </c>
      <c r="H2" s="3" t="s">
        <v>82</v>
      </c>
      <c r="I2" s="3" t="s">
        <v>83</v>
      </c>
      <c r="J2" s="3" t="s">
        <v>84</v>
      </c>
      <c r="K2" s="3" t="s">
        <v>85</v>
      </c>
      <c r="L2" s="3">
        <f>IF(K2="Not at all",0,IF(K2="Several days",1,IF(K2="More than half the days",2,3)))</f>
        <v>0</v>
      </c>
      <c r="M2" s="3" t="s">
        <v>85</v>
      </c>
      <c r="N2" s="3">
        <f>IF(M2="Not at all",0,IF(M2="Several days",1,IF(M2="More than half the days",2,3)))</f>
        <v>0</v>
      </c>
      <c r="O2" s="3" t="s">
        <v>86</v>
      </c>
      <c r="P2" s="3">
        <f>IF(O2="Not at all",0,IF(O2="Several days",1,IF(O2="More than half the days",2,3)))</f>
        <v>1</v>
      </c>
      <c r="Q2" s="3" t="s">
        <v>86</v>
      </c>
      <c r="R2" s="3">
        <f>IF(Q2="Not at all",0,IF(Q2="Several days",1,IF(Q2="More than half the days",2,3)))</f>
        <v>1</v>
      </c>
      <c r="S2" s="3" t="s">
        <v>85</v>
      </c>
      <c r="T2" s="3">
        <f>IF(S2="Not at all",0,IF(S2="Several days",1,IF(S2="More than half the days",2,3)))</f>
        <v>0</v>
      </c>
      <c r="U2" s="3" t="s">
        <v>85</v>
      </c>
      <c r="V2" s="3">
        <f>IF(U2="Not at all",0,IF(U2="Several days",1,IF(U2="More than half the days",2,3)))</f>
        <v>0</v>
      </c>
      <c r="W2" s="3" t="s">
        <v>86</v>
      </c>
      <c r="X2" s="3">
        <f>IF(W2="Not at all",0,IF(W2="Several days",1,IF(W2="More than half the days",2,3)))</f>
        <v>1</v>
      </c>
      <c r="Y2" s="3" t="s">
        <v>85</v>
      </c>
      <c r="Z2" s="3">
        <f>IF(Y2="Not at all",0,IF(Y2="Several days",1,IF(Y2="More than half the days",2,3)))</f>
        <v>0</v>
      </c>
      <c r="AA2" s="3" t="s">
        <v>85</v>
      </c>
      <c r="AB2" s="3">
        <f>IF(AA2="Not at all",0,IF(AA2="Several days",1,IF(AA2="More than half the days",2,3)))</f>
        <v>0</v>
      </c>
      <c r="AC2" s="3">
        <f>SUM(Form_Responses[[#This Row],[Score]],Form_Responses[[#This Row],[Score2]],Form_Responses[[#This Row],[Score3]],Form_Responses[[#This Row],[Score4]],Form_Responses[[#This Row],[Score5]],Form_Responses[[#This Row],[Score6]],Form_Responses[[#This Row],[Score7]],Form_Responses[[#This Row],[Score8]],Form_Responses[[#This Row],[Score9]])</f>
        <v>3</v>
      </c>
      <c r="AD2" s="3" t="str">
        <f>IF(Form_Responses[[#This Row],[Depression Score ]]&lt;=4,"Minimal symptoms",IF(Form_Responses[[#This Row],[Depression Score ]]&lt;=9,"Mild Depression",IF(Form_Responses[[#This Row],[Depression Score ]]&lt;=14,"Moderate depression",IF(Form_Responses[[#This Row],[Depression Score ]]&lt;=19,"Moderately severe depression","Severe depression"))))</f>
        <v xml:space="preserve">Minimal symptoms</v>
      </c>
      <c r="AE2" s="3" t="s">
        <v>87</v>
      </c>
      <c r="AF2" s="3">
        <f>IF(AE2="Not at all",0,IF(AE2="Several days",1,IF(AE2="More than half the days",2,3)))</f>
        <v>2</v>
      </c>
      <c r="AG2" s="3" t="s">
        <v>86</v>
      </c>
      <c r="AH2" s="3">
        <f>IF(AG2="Not at all",0,IF(AG2="Several days",1,IF(AG2="More than half the days",2,3)))</f>
        <v>1</v>
      </c>
      <c r="AI2" s="3" t="s">
        <v>86</v>
      </c>
      <c r="AJ2" s="3">
        <f>IF(AI2="Not at all",0,IF(AI2="Several days",1,IF(AI2="More than half the days",2,3)))</f>
        <v>1</v>
      </c>
      <c r="AK2" s="3" t="s">
        <v>85</v>
      </c>
      <c r="AL2" s="3">
        <f>IF(AK2="Not at all",0,IF(AK2="Several days",1,IF(AK2="More than half the days",2,3)))</f>
        <v>0</v>
      </c>
      <c r="AM2" s="3" t="s">
        <v>86</v>
      </c>
      <c r="AN2" s="3">
        <f>IF(AM2="Not at all",0,IF(AM2="Several days",1,IF(AM2="More than half the days",2,3)))</f>
        <v>1</v>
      </c>
      <c r="AO2" s="3" t="s">
        <v>87</v>
      </c>
      <c r="AP2" s="3">
        <f>IF(AO2="Not at all",0,IF(AO2="Several days",1,IF(AO2="More than half the days",2,3)))</f>
        <v>2</v>
      </c>
      <c r="AQ2" s="3" t="s">
        <v>85</v>
      </c>
      <c r="AR2" s="3">
        <f>IF(AQ2="Not at all",0,IF(AQ2="Several days",1,IF(AQ2="More than half the days",2,3)))</f>
        <v>0</v>
      </c>
      <c r="AS2" s="3">
        <f>SUM(Form_Responses[[#This Row],[Score16]],Form_Responses[[#This Row],[Score10]],Form_Responses[[#This Row],[Score11]],Form_Responses[[#This Row],[Score12]],Form_Responses[[#This Row],[Score13]],Form_Responses[[#This Row],[Score14]],Form_Responses[[#This Row],[Score15]])</f>
        <v>7</v>
      </c>
      <c r="AT2" s="3" t="str">
        <f>IF(Form_Responses[[#This Row],[Anxiety Score]]&lt;=4,"Minimal anxiety",IF(Form_Responses[[#This Row],[Anxiety Score]]&lt;=9,"Mild anxiety",IF(Form_Responses[[#This Row],[Anxiety Score]]&lt;=14,"Moderate anxiety","Severe anxiety")))</f>
        <v xml:space="preserve">Mild anxiety</v>
      </c>
      <c r="AU2" s="3" t="s">
        <v>88</v>
      </c>
      <c r="AV2" s="3">
        <f>IF(Form_Responses[[#This Row],[1. In the last month, how often have you been upset because of unexpected situations related to academics, finances, or personal life?]]="Never",0,IF(Form_Responses[[#This Row],[1. In the last month, how often have you been upset because of unexpected situations related to academics, finances, or personal life?]]="Almost never",1,IF(Form_Responses[[#This Row],[1. In the last month, how often have you been upset because of unexpected situations related to academics, finances, or personal life?]]="Sometimes",2,IF(Form_Responses[[#This Row],[1. In the last month, how often have you been upset because of unexpected situations related to academics, finances, or personal life?]]="Fairly often",3,4))))</f>
        <v>3</v>
      </c>
      <c r="AW2" s="3" t="s">
        <v>89</v>
      </c>
      <c r="AX2" s="3">
        <f>IF(Form_Responses[[#This Row],[2. In the last month, how often have you felt unable to control important things in your academic or personal life?]]="Never",0,IF(Form_Responses[[#This Row],[2. In the last month, how often have you felt unable to control important things in your academic or personal life?]]="Almost never",1,IF(Form_Responses[[#This Row],[2. In the last month, how often have you felt unable to control important things in your academic or personal life?]]="Sometimes",2,IF(Form_Responses[[#This Row],[2. In the last month, how often have you felt unable to control important things in your academic or personal life?]]="Fairly often",3,4))))</f>
        <v>2</v>
      </c>
      <c r="AY2" s="3" t="s">
        <v>89</v>
      </c>
      <c r="AZ2" s="3">
        <f>IF(Form_Responses[[#This Row],[3. In the last month, how often have you felt nervous or stressed because of university responsibilities or personal challenges?]]="Never",0,IF(Form_Responses[[#This Row],[3. In the last month, how often have you felt nervous or stressed because of university responsibilities or personal challenges?]]="Almost never",1,IF(Form_Responses[[#This Row],[3. In the last month, how often have you felt nervous or stressed because of university responsibilities or personal challenges?]]="Sometimes",2,IF(Form_Responses[[#This Row],[3. In the last month, how often have you felt nervous or stressed because of university responsibilities or personal challenges?]]="Fairly often",3,4))))</f>
        <v>2</v>
      </c>
      <c r="BA2" s="3" t="s">
        <v>89</v>
      </c>
      <c r="BB2" s="3">
        <f>IF(Form_Responses[[#This Row],[4. In the last month, how often have you felt confident about your ability to handle academic or personal problems?]]="Never",4,IF(Form_Responses[[#This Row],[4. In the last month, how often have you felt confident about your ability to handle academic or personal problems?]]="Almost never",3,IF(Form_Responses[[#This Row],[4. In the last month, how often have you felt confident about your ability to handle academic or personal problems?]]="Sometimes",2,IF(Form_Responses[[#This Row],[4. In the last month, how often have you felt confident about your ability to handle academic or personal problems?]]="Fairly often",1,0))))</f>
        <v>2</v>
      </c>
      <c r="BC2" s="3" t="s">
        <v>89</v>
      </c>
      <c r="BD2" s="3">
        <f>IF(Form_Responses[[#This Row],[5. In the last month, how often have you felt that things were going well in your studies or personal life?]]="Never",4,IF(Form_Responses[[#This Row],[5. In the last month, how often have you felt that things were going well in your studies or personal life?]]="Almost never",3,IF(Form_Responses[[#This Row],[5. In the last month, how often have you felt that things were going well in your studies or personal life?]]="Sometimes",2,IF(Form_Responses[[#This Row],[5. In the last month, how often have you felt that things were going well in your studies or personal life?]]="Fairly often",1,0))))</f>
        <v>2</v>
      </c>
      <c r="BE2" s="3" t="s">
        <v>90</v>
      </c>
      <c r="BF2" s="3">
        <f>IF(Form_Responses[[#This Row],[6. In the last month, how often have you felt unable to cope with coursework, deadlines, or daily responsibilities?]]="Never",0,IF(Form_Responses[[#This Row],[6. In the last month, how often have you felt unable to cope with coursework, deadlines, or daily responsibilities?]]="Almost never",1,IF(Form_Responses[[#This Row],[6. In the last month, how often have you felt unable to cope with coursework, deadlines, or daily responsibilities?]]="Sometimes",2,IF(Form_Responses[[#This Row],[6. In the last month, how often have you felt unable to cope with coursework, deadlines, or daily responsibilities?]]="Fairly often",3,4))))</f>
        <v>1</v>
      </c>
      <c r="BG2" s="3" t="s">
        <v>88</v>
      </c>
      <c r="BH2" s="3">
        <f>IF(Form_Responses[[#This Row],[7. In the last month, how often have you been able to control irritations or frustrations in your life?]]="Never",4,IF(Form_Responses[[#This Row],[7. In the last month, how often have you been able to control irritations or frustrations in your life?]]="Almost never",3,IF(Form_Responses[[#This Row],[7. In the last month, how often have you been able to control irritations or frustrations in your life?]]="Sometimes",2,IF(Form_Responses[[#This Row],[7. In the last month, how often have you been able to control irritations or frustrations in your life?]]="Fairly often",1,0))))</f>
        <v>1</v>
      </c>
      <c r="BI2" s="3" t="s">
        <v>88</v>
      </c>
      <c r="BJ2" s="3">
        <f>IF(Form_Responses[[#This Row],[8. In the last month, how often have you felt that you were managing your academic and personal responsibilities well?]]="Never",4,IF(Form_Responses[[#This Row],[8. In the last month, how often have you felt that you were managing your academic and personal responsibilities well?]]="Almost never",3,IF(Form_Responses[[#This Row],[8. In the last month, how often have you felt that you were managing your academic and personal responsibilities well?]]="Sometimes",2,IF(Form_Responses[[#This Row],[8. In the last month, how often have you felt that you were managing your academic and personal responsibilities well?]]="Fairly often",1,0))))</f>
        <v>1</v>
      </c>
      <c r="BK2" s="3" t="s">
        <v>88</v>
      </c>
      <c r="BL2" s="3">
        <f>IF(Form_Responses[[#This Row],[9. In the last month, how often have you been angered or frustrated by situations outside your control, such as finances, academics, or relationships?]]="Never",0,IF(Form_Responses[[#This Row],[9. In the last month, how often have you been angered or frustrated by situations outside your control, such as finances, academics, or relationships?]]="Almost never",1,IF(Form_Responses[[#This Row],[9. In the last month, how often have you been angered or frustrated by situations outside your control, such as finances, academics, or relationships?]]="Sometimes",2,IF(Form_Responses[[#This Row],[9. In the last month, how often have you been angered or frustrated by situations outside your control, such as finances, academics, or relationships?]]="Fairly often",3,4))))</f>
        <v>3</v>
      </c>
      <c r="BM2" s="3" t="s">
        <v>89</v>
      </c>
      <c r="BN2" s="3">
        <f>IF(Form_Responses[[#This Row],[10. In the last month, how often have you felt that difficulties were piling up so much that you could not overcome them?]]="Never",0,IF(Form_Responses[[#This Row],[10. In the last month, how often have you felt that difficulties were piling up so much that you could not overcome them?]]="Almost never",1,IF(Form_Responses[[#This Row],[10. In the last month, how often have you felt that difficulties were piling up so much that you could not overcome them?]]="Sometimes",2,IF(Form_Responses[[#This Row],[10. In the last month, how often have you felt that difficulties were piling up so much that you could not overcome them?]]="Fairly often",3,4))))</f>
        <v>2</v>
      </c>
      <c r="BO2" s="3">
        <f>SUM(Form_Responses[[#This Row],[Score17]],Form_Responses[[#This Row],[Score18]],Form_Responses[[#This Row],[Score19]],Form_Responses[[#This Row],[Score20]],Form_Responses[[#This Row],[Score21]],Form_Responses[[#This Row],[Score22]],Form_Responses[[#This Row],[Score23]],Form_Responses[[#This Row],[Score24]],Form_Responses[[#This Row],[Score25]],Form_Responses[[#This Row],[Score26]])</f>
        <v>19</v>
      </c>
      <c r="BP2" s="3" t="str">
        <f>IF(Form_Responses[[#This Row],[Anxiety Score2]]&lt;=13,"Low stress",IF(Form_Responses[[#This Row],[Anxiety Score2]]&lt;=26,"Moderate stress","High stress"))</f>
        <v xml:space="preserve">Moderate stress</v>
      </c>
      <c r="BQ2" s="3" t="s">
        <v>91</v>
      </c>
      <c r="BR2" s="3" t="s">
        <v>76</v>
      </c>
      <c r="BS2" s="3" t="s">
        <v>92</v>
      </c>
      <c r="BT2" s="3" t="s">
        <v>93</v>
      </c>
      <c r="BU2" s="3" t="s">
        <v>76</v>
      </c>
      <c r="BV2" s="3" t="s">
        <v>94</v>
      </c>
      <c r="BW2" s="3" t="s">
        <v>95</v>
      </c>
      <c r="BX2" s="3" t="s">
        <v>96</v>
      </c>
    </row>
    <row r="3" ht="22.5" customHeight="1">
      <c r="A3" s="2">
        <v>46191.957010231483</v>
      </c>
      <c r="B3" s="3" t="s">
        <v>76</v>
      </c>
      <c r="C3" s="3" t="s">
        <v>97</v>
      </c>
      <c r="D3" s="3" t="s">
        <v>78</v>
      </c>
      <c r="E3" s="3" t="s">
        <v>98</v>
      </c>
      <c r="F3" s="3" t="s">
        <v>99</v>
      </c>
      <c r="G3" s="3" t="s">
        <v>100</v>
      </c>
      <c r="H3" s="3" t="s">
        <v>101</v>
      </c>
      <c r="I3" s="3" t="s">
        <v>102</v>
      </c>
      <c r="J3" s="3" t="s">
        <v>103</v>
      </c>
      <c r="K3" s="3" t="s">
        <v>86</v>
      </c>
      <c r="L3" s="4">
        <f>IF(K3="Not at all",0,IF(K3="Several days",1,IF(K3="More than half the days",2,3)))</f>
        <v>1</v>
      </c>
      <c r="M3" s="3" t="s">
        <v>86</v>
      </c>
      <c r="N3" s="4">
        <f>IF(M3="Not at all",0,IF(M3="Several days",1,IF(M3="More than half the days",2,3)))</f>
        <v>1</v>
      </c>
      <c r="O3" s="3" t="s">
        <v>86</v>
      </c>
      <c r="P3" s="5">
        <f>IF(O3="Not at all",0,IF(O3="Several days",1,IF(O3="More than half the days",2,3)))</f>
        <v>1</v>
      </c>
      <c r="Q3" s="3" t="s">
        <v>87</v>
      </c>
      <c r="R3" s="4">
        <f>IF(Q3="Not at all",0,IF(Q3="Several days",1,IF(Q3="More than half the days",2,3)))</f>
        <v>2</v>
      </c>
      <c r="S3" s="3" t="s">
        <v>104</v>
      </c>
      <c r="T3" s="4">
        <f>IF(S3="Not at all",0,IF(S3="Several days",1,IF(S3="More than half the days",2,3)))</f>
        <v>3</v>
      </c>
      <c r="U3" s="3" t="s">
        <v>86</v>
      </c>
      <c r="V3" s="4">
        <f>IF(U3="Not at all",0,IF(U3="Several days",1,IF(U3="More than half the days",2,3)))</f>
        <v>1</v>
      </c>
      <c r="W3" s="3" t="s">
        <v>104</v>
      </c>
      <c r="X3" s="4">
        <f>IF(W3="Not at all",0,IF(W3="Several days",1,IF(W3="More than half the days",2,3)))</f>
        <v>3</v>
      </c>
      <c r="Y3" s="3" t="s">
        <v>104</v>
      </c>
      <c r="Z3" s="4">
        <f>IF(Y3="Not at all",0,IF(Y3="Several days",1,IF(Y3="More than half the days",2,3)))</f>
        <v>3</v>
      </c>
      <c r="AA3" s="3" t="s">
        <v>86</v>
      </c>
      <c r="AB3" s="4">
        <f>IF(AA3="Not at all",0,IF(AA3="Several days",1,IF(AA3="More than half the days",2,3)))</f>
        <v>1</v>
      </c>
      <c r="AC3" s="4">
        <f>SUM(Form_Responses[[#This Row],[Score]],Form_Responses[[#This Row],[Score2]],Form_Responses[[#This Row],[Score3]],Form_Responses[[#This Row],[Score4]],Form_Responses[[#This Row],[Score5]],Form_Responses[[#This Row],[Score6]],Form_Responses[[#This Row],[Score7]],Form_Responses[[#This Row],[Score8]],Form_Responses[[#This Row],[Score9]])</f>
        <v>16</v>
      </c>
      <c r="AD3" s="4" t="str">
        <f>IF(Form_Responses[[#This Row],[Depression Score ]]&lt;=4,"Minimal symptoms",IF(Form_Responses[[#This Row],[Depression Score ]]&lt;=9,"Mild Depression",IF(Form_Responses[[#This Row],[Depression Score ]]&lt;=14,"Moderate depression",IF(Form_Responses[[#This Row],[Depression Score ]]&lt;=19,"Moderately severe depression","Severe depression"))))</f>
        <v xml:space="preserve">Moderately severe depression</v>
      </c>
      <c r="AE3" s="3" t="s">
        <v>86</v>
      </c>
      <c r="AF3" s="4">
        <f>IF(AE3="Not at all",0,IF(AE3="Several days",1,IF(AE3="More than half the days",2,3)))</f>
        <v>1</v>
      </c>
      <c r="AG3" s="3" t="s">
        <v>86</v>
      </c>
      <c r="AH3" s="4">
        <f>IF(AG3="Not at all",0,IF(AG3="Several days",1,IF(AG3="More than half the days",2,3)))</f>
        <v>1</v>
      </c>
      <c r="AI3" s="3" t="s">
        <v>104</v>
      </c>
      <c r="AJ3" s="4">
        <f>IF(AI3="Not at all",0,IF(AI3="Several days",1,IF(AI3="More than half the days",2,3)))</f>
        <v>3</v>
      </c>
      <c r="AK3" s="3" t="s">
        <v>86</v>
      </c>
      <c r="AL3" s="4">
        <f>IF(AK3="Not at all",0,IF(AK3="Several days",1,IF(AK3="More than half the days",2,3)))</f>
        <v>1</v>
      </c>
      <c r="AM3" s="3" t="s">
        <v>86</v>
      </c>
      <c r="AN3" s="4">
        <f>IF(AM3="Not at all",0,IF(AM3="Several days",1,IF(AM3="More than half the days",2,3)))</f>
        <v>1</v>
      </c>
      <c r="AO3" s="3" t="s">
        <v>87</v>
      </c>
      <c r="AP3" s="4">
        <f>IF(AO3="Not at all",0,IF(AO3="Several days",1,IF(AO3="More than half the days",2,3)))</f>
        <v>2</v>
      </c>
      <c r="AQ3" s="3" t="s">
        <v>86</v>
      </c>
      <c r="AR3" s="4">
        <f>IF(AQ3="Not at all",0,IF(AQ3="Several days",1,IF(AQ3="More than half the days",2,3)))</f>
        <v>1</v>
      </c>
      <c r="AS3" s="4">
        <f>SUM(Form_Responses[[#This Row],[Score16]],Form_Responses[[#This Row],[Score10]],Form_Responses[[#This Row],[Score11]],Form_Responses[[#This Row],[Score12]],Form_Responses[[#This Row],[Score13]],Form_Responses[[#This Row],[Score14]],Form_Responses[[#This Row],[Score15]])</f>
        <v>10</v>
      </c>
      <c r="AT3" s="4" t="str">
        <f>IF(Form_Responses[[#This Row],[Anxiety Score]]&lt;=4,"Minimal anxiety",IF(Form_Responses[[#This Row],[Anxiety Score]]&lt;=9,"Mild anxiety",IF(Form_Responses[[#This Row],[Anxiety Score]]&lt;=14,"Moderate anxiety","Severe anxiety")))</f>
        <v xml:space="preserve">Moderate anxiety</v>
      </c>
      <c r="AU3" s="3" t="s">
        <v>89</v>
      </c>
      <c r="AV3" s="4">
        <f>IF(Form_Responses[[#This Row],[1. In the last month, how often have you been upset because of unexpected situations related to academics, finances, or personal life?]]="Never",0,IF(Form_Responses[[#This Row],[1. In the last month, how often have you been upset because of unexpected situations related to academics, finances, or personal life?]]="Almost never",1,IF(Form_Responses[[#This Row],[1. In the last month, how often have you been upset because of unexpected situations related to academics, finances, or personal life?]]="Sometimes",2,IF(Form_Responses[[#This Row],[1. In the last month, how often have you been upset because of unexpected situations related to academics, finances, or personal life?]]="Fairly often",3,4))))</f>
        <v>2</v>
      </c>
      <c r="AW3" s="3" t="s">
        <v>105</v>
      </c>
      <c r="AX3" s="5">
        <f>IF(Form_Responses[[#This Row],[2. In the last month, how often have you felt unable to control important things in your academic or personal life?]]="Never",0,IF(Form_Responses[[#This Row],[2. In the last month, how often have you felt unable to control important things in your academic or personal life?]]="Almost never",1,IF(Form_Responses[[#This Row],[2. In the last month, how often have you felt unable to control important things in your academic or personal life?]]="Sometimes",2,IF(Form_Responses[[#This Row],[2. In the last month, how often have you felt unable to control important things in your academic or personal life?]]="Fairly often",3,4))))</f>
        <v>4</v>
      </c>
      <c r="AY3" s="3" t="s">
        <v>88</v>
      </c>
      <c r="AZ3" s="4">
        <f>IF(Form_Responses[[#This Row],[3. In the last month, how often have you felt nervous or stressed because of university responsibilities or personal challenges?]]="Never",0,IF(Form_Responses[[#This Row],[3. In the last month, how often have you felt nervous or stressed because of university responsibilities or personal challenges?]]="Almost never",1,IF(Form_Responses[[#This Row],[3. In the last month, how often have you felt nervous or stressed because of university responsibilities or personal challenges?]]="Sometimes",2,IF(Form_Responses[[#This Row],[3. In the last month, how often have you felt nervous or stressed because of university responsibilities or personal challenges?]]="Fairly often",3,4))))</f>
        <v>3</v>
      </c>
      <c r="BA3" s="3" t="s">
        <v>88</v>
      </c>
      <c r="BB3" s="4">
        <f>IF(Form_Responses[[#This Row],[4. In the last month, how often have you felt confident about your ability to handle academic or personal problems?]]="Never",4,IF(Form_Responses[[#This Row],[4. In the last month, how often have you felt confident about your ability to handle academic or personal problems?]]="Almost never",3,IF(Form_Responses[[#This Row],[4. In the last month, how often have you felt confident about your ability to handle academic or personal problems?]]="Sometimes",2,IF(Form_Responses[[#This Row],[4. In the last month, how often have you felt confident about your ability to handle academic or personal problems?]]="Fairly often",1,0))))</f>
        <v>1</v>
      </c>
      <c r="BC3" s="3" t="s">
        <v>88</v>
      </c>
      <c r="BD3" s="4">
        <f>IF(Form_Responses[[#This Row],[5. In the last month, how often have you felt that things were going well in your studies or personal life?]]="Never",4,IF(Form_Responses[[#This Row],[5. In the last month, how often have you felt that things were going well in your studies or personal life?]]="Almost never",3,IF(Form_Responses[[#This Row],[5. In the last month, how often have you felt that things were going well in your studies or personal life?]]="Sometimes",2,IF(Form_Responses[[#This Row],[5. In the last month, how often have you felt that things were going well in your studies or personal life?]]="Fairly often",1,0))))</f>
        <v>1</v>
      </c>
      <c r="BE3" s="3" t="s">
        <v>105</v>
      </c>
      <c r="BF3" s="4">
        <f>IF(Form_Responses[[#This Row],[6. In the last month, how often have you felt unable to cope with coursework, deadlines, or daily responsibilities?]]="Never",0,IF(Form_Responses[[#This Row],[6. In the last month, how often have you felt unable to cope with coursework, deadlines, or daily responsibilities?]]="Almost never",1,IF(Form_Responses[[#This Row],[6. In the last month, how often have you felt unable to cope with coursework, deadlines, or daily responsibilities?]]="Sometimes",2,IF(Form_Responses[[#This Row],[6. In the last month, how often have you felt unable to cope with coursework, deadlines, or daily responsibilities?]]="Fairly often",3,4))))</f>
        <v>4</v>
      </c>
      <c r="BG3" s="3" t="s">
        <v>88</v>
      </c>
      <c r="BH3" s="4">
        <f>IF(Form_Responses[[#This Row],[7. In the last month, how often have you been able to control irritations or frustrations in your life?]]="Never",4,IF(Form_Responses[[#This Row],[7. In the last month, how often have you been able to control irritations or frustrations in your life?]]="Almost never",3,IF(Form_Responses[[#This Row],[7. In the last month, how often have you been able to control irritations or frustrations in your life?]]="Sometimes",2,IF(Form_Responses[[#This Row],[7. In the last month, how often have you been able to control irritations or frustrations in your life?]]="Fairly often",1,0))))</f>
        <v>1</v>
      </c>
      <c r="BI3" s="3" t="s">
        <v>90</v>
      </c>
      <c r="BJ3" s="4">
        <f>IF(Form_Responses[[#This Row],[8. In the last month, how often have you felt that you were managing your academic and personal responsibilities well?]]="Never",4,IF(Form_Responses[[#This Row],[8. In the last month, how often have you felt that you were managing your academic and personal responsibilities well?]]="Almost never",3,IF(Form_Responses[[#This Row],[8. In the last month, how often have you felt that you were managing your academic and personal responsibilities well?]]="Sometimes",2,IF(Form_Responses[[#This Row],[8. In the last month, how often have you felt that you were managing your academic and personal responsibilities well?]]="Fairly often",1,0))))</f>
        <v>3</v>
      </c>
      <c r="BK3" s="3" t="s">
        <v>88</v>
      </c>
      <c r="BL3" s="5">
        <f>IF(Form_Responses[[#This Row],[9. In the last month, how often have you been angered or frustrated by situations outside your control, such as finances, academics, or relationships?]]="Never",0,IF(Form_Responses[[#This Row],[9. In the last month, how often have you been angered or frustrated by situations outside your control, such as finances, academics, or relationships?]]="Almost never",1,IF(Form_Responses[[#This Row],[9. In the last month, how often have you been angered or frustrated by situations outside your control, such as finances, academics, or relationships?]]="Sometimes",2,IF(Form_Responses[[#This Row],[9. In the last month, how often have you been angered or frustrated by situations outside your control, such as finances, academics, or relationships?]]="Fairly often",3,4))))</f>
        <v>3</v>
      </c>
      <c r="BM3" s="3" t="s">
        <v>105</v>
      </c>
      <c r="BN3" s="4">
        <f>IF(Form_Responses[[#This Row],[10. In the last month, how often have you felt that difficulties were piling up so much that you could not overcome them?]]="Never",0,IF(Form_Responses[[#This Row],[10. In the last month, how often have you felt that difficulties were piling up so much that you could not overcome them?]]="Almost never",1,IF(Form_Responses[[#This Row],[10. In the last month, how often have you felt that difficulties were piling up so much that you could not overcome them?]]="Sometimes",2,IF(Form_Responses[[#This Row],[10. In the last month, how often have you felt that difficulties were piling up so much that you could not overcome them?]]="Fairly often",3,4))))</f>
        <v>4</v>
      </c>
      <c r="BO3" s="4">
        <f>SUM(Form_Responses[[#This Row],[Score17]],Form_Responses[[#This Row],[Score18]],Form_Responses[[#This Row],[Score19]],Form_Responses[[#This Row],[Score20]],Form_Responses[[#This Row],[Score21]],Form_Responses[[#This Row],[Score22]],Form_Responses[[#This Row],[Score23]],Form_Responses[[#This Row],[Score24]],Form_Responses[[#This Row],[Score25]],Form_Responses[[#This Row],[Score26]])</f>
        <v>26</v>
      </c>
      <c r="BP3" s="4" t="str">
        <f>IF(Form_Responses[[#This Row],[Anxiety Score2]]&lt;=13,"Low stress",IF(Form_Responses[[#This Row],[Anxiety Score2]]&lt;=26,"Moderate stress","High stress"))</f>
        <v xml:space="preserve">Moderate stress</v>
      </c>
      <c r="BQ3" s="3" t="s">
        <v>91</v>
      </c>
      <c r="BR3" s="3" t="s">
        <v>106</v>
      </c>
      <c r="BS3" s="3" t="s">
        <v>107</v>
      </c>
      <c r="BT3" s="3" t="s">
        <v>108</v>
      </c>
      <c r="BU3" s="3" t="s">
        <v>76</v>
      </c>
      <c r="BV3" s="3" t="s">
        <v>109</v>
      </c>
      <c r="BW3" s="3" t="s">
        <v>110</v>
      </c>
      <c r="BX3" s="3" t="s">
        <v>111</v>
      </c>
    </row>
    <row r="4" ht="22.5" customHeight="1">
      <c r="A4" s="2">
        <v>46191.98565347222</v>
      </c>
      <c r="B4" s="3" t="s">
        <v>76</v>
      </c>
      <c r="C4" s="3" t="s">
        <v>77</v>
      </c>
      <c r="D4" s="3" t="s">
        <v>112</v>
      </c>
      <c r="E4" s="3" t="s">
        <v>79</v>
      </c>
      <c r="F4" s="3" t="s">
        <v>113</v>
      </c>
      <c r="G4" s="3" t="s">
        <v>81</v>
      </c>
      <c r="H4" s="3" t="s">
        <v>82</v>
      </c>
      <c r="I4" s="3" t="s">
        <v>114</v>
      </c>
      <c r="J4" s="3" t="s">
        <v>84</v>
      </c>
      <c r="K4" s="3" t="s">
        <v>87</v>
      </c>
      <c r="L4" s="4">
        <f>IF(K4="Not at all",0,IF(K4="Several days",1,IF(K4="More than half the days",2,3)))</f>
        <v>2</v>
      </c>
      <c r="M4" s="3" t="s">
        <v>86</v>
      </c>
      <c r="N4" s="4">
        <f>IF(M4="Not at all",0,IF(M4="Several days",1,IF(M4="More than half the days",2,3)))</f>
        <v>1</v>
      </c>
      <c r="O4" s="3" t="s">
        <v>104</v>
      </c>
      <c r="P4" s="5">
        <f>IF(O4="Not at all",0,IF(O4="Several days",1,IF(O4="More than half the days",2,3)))</f>
        <v>3</v>
      </c>
      <c r="Q4" s="3" t="s">
        <v>87</v>
      </c>
      <c r="R4" s="4">
        <f>IF(Q4="Not at all",0,IF(Q4="Several days",1,IF(Q4="More than half the days",2,3)))</f>
        <v>2</v>
      </c>
      <c r="S4" s="3" t="s">
        <v>104</v>
      </c>
      <c r="T4" s="4">
        <f>IF(S4="Not at all",0,IF(S4="Several days",1,IF(S4="More than half the days",2,3)))</f>
        <v>3</v>
      </c>
      <c r="U4" s="3" t="s">
        <v>87</v>
      </c>
      <c r="V4" s="4">
        <f>IF(U4="Not at all",0,IF(U4="Several days",1,IF(U4="More than half the days",2,3)))</f>
        <v>2</v>
      </c>
      <c r="W4" s="3" t="s">
        <v>87</v>
      </c>
      <c r="X4" s="4">
        <f>IF(W4="Not at all",0,IF(W4="Several days",1,IF(W4="More than half the days",2,3)))</f>
        <v>2</v>
      </c>
      <c r="Y4" s="3" t="s">
        <v>87</v>
      </c>
      <c r="Z4" s="4">
        <f>IF(Y4="Not at all",0,IF(Y4="Several days",1,IF(Y4="More than half the days",2,3)))</f>
        <v>2</v>
      </c>
      <c r="AA4" s="3" t="s">
        <v>87</v>
      </c>
      <c r="AB4" s="4">
        <f>IF(AA4="Not at all",0,IF(AA4="Several days",1,IF(AA4="More than half the days",2,3)))</f>
        <v>2</v>
      </c>
      <c r="AC4" s="4">
        <f>SUM(Form_Responses[[#This Row],[Score]],Form_Responses[[#This Row],[Score2]],Form_Responses[[#This Row],[Score3]],Form_Responses[[#This Row],[Score4]],Form_Responses[[#This Row],[Score5]],Form_Responses[[#This Row],[Score6]],Form_Responses[[#This Row],[Score7]],Form_Responses[[#This Row],[Score8]],Form_Responses[[#This Row],[Score9]])</f>
        <v>19</v>
      </c>
      <c r="AD4" s="4" t="str">
        <f>IF(Form_Responses[[#This Row],[Depression Score ]]&lt;=4,"Minimal symptoms",IF(Form_Responses[[#This Row],[Depression Score ]]&lt;=9,"Mild Depression",IF(Form_Responses[[#This Row],[Depression Score ]]&lt;=14,"Moderate depression",IF(Form_Responses[[#This Row],[Depression Score ]]&lt;=19,"Moderately severe depression","Severe depression"))))</f>
        <v xml:space="preserve">Moderately severe depression</v>
      </c>
      <c r="AE4" s="3" t="s">
        <v>115</v>
      </c>
      <c r="AF4" s="4">
        <f>IF(AE4="Not at all",0,IF(AE4="Several days",1,IF(AE4="More than half the days",2,3)))</f>
        <v>3</v>
      </c>
      <c r="AG4" s="3" t="s">
        <v>87</v>
      </c>
      <c r="AH4" s="4">
        <f>IF(AG4="Not at all",0,IF(AG4="Several days",1,IF(AG4="More than half the days",2,3)))</f>
        <v>2</v>
      </c>
      <c r="AI4" s="3" t="s">
        <v>86</v>
      </c>
      <c r="AJ4" s="4">
        <f>IF(AI4="Not at all",0,IF(AI4="Several days",1,IF(AI4="More than half the days",2,3)))</f>
        <v>1</v>
      </c>
      <c r="AK4" s="3" t="s">
        <v>87</v>
      </c>
      <c r="AL4" s="4">
        <f>IF(AK4="Not at all",0,IF(AK4="Several days",1,IF(AK4="More than half the days",2,3)))</f>
        <v>2</v>
      </c>
      <c r="AM4" s="3" t="s">
        <v>87</v>
      </c>
      <c r="AN4" s="4">
        <f>IF(AM4="Not at all",0,IF(AM4="Several days",1,IF(AM4="More than half the days",2,3)))</f>
        <v>2</v>
      </c>
      <c r="AO4" s="3" t="s">
        <v>87</v>
      </c>
      <c r="AP4" s="4">
        <f>IF(AO4="Not at all",0,IF(AO4="Several days",1,IF(AO4="More than half the days",2,3)))</f>
        <v>2</v>
      </c>
      <c r="AQ4" s="3" t="s">
        <v>104</v>
      </c>
      <c r="AR4" s="4">
        <f>IF(AQ4="Not at all",0,IF(AQ4="Several days",1,IF(AQ4="More than half the days",2,3)))</f>
        <v>3</v>
      </c>
      <c r="AS4" s="4">
        <f>SUM(Form_Responses[[#This Row],[Score16]],Form_Responses[[#This Row],[Score10]],Form_Responses[[#This Row],[Score11]],Form_Responses[[#This Row],[Score12]],Form_Responses[[#This Row],[Score13]],Form_Responses[[#This Row],[Score14]],Form_Responses[[#This Row],[Score15]])</f>
        <v>15</v>
      </c>
      <c r="AT4" s="4" t="str">
        <f>IF(Form_Responses[[#This Row],[Anxiety Score]]&lt;=4,"Minimal anxiety",IF(Form_Responses[[#This Row],[Anxiety Score]]&lt;=9,"Mild anxiety",IF(Form_Responses[[#This Row],[Anxiety Score]]&lt;=14,"Moderate anxiety","Severe anxiety")))</f>
        <v xml:space="preserve">Severe anxiety</v>
      </c>
      <c r="AU4" s="3" t="s">
        <v>89</v>
      </c>
      <c r="AV4" s="4">
        <f>IF(Form_Responses[[#This Row],[1. In the last month, how often have you been upset because of unexpected situations related to academics, finances, or personal life?]]="Never",0,IF(Form_Responses[[#This Row],[1. In the last month, how often have you been upset because of unexpected situations related to academics, finances, or personal life?]]="Almost never",1,IF(Form_Responses[[#This Row],[1. In the last month, how often have you been upset because of unexpected situations related to academics, finances, or personal life?]]="Sometimes",2,IF(Form_Responses[[#This Row],[1. In the last month, how often have you been upset because of unexpected situations related to academics, finances, or personal life?]]="Fairly often",3,4))))</f>
        <v>2</v>
      </c>
      <c r="AW4" s="3" t="s">
        <v>89</v>
      </c>
      <c r="AX4" s="5">
        <f>IF(Form_Responses[[#This Row],[2. In the last month, how often have you felt unable to control important things in your academic or personal life?]]="Never",0,IF(Form_Responses[[#This Row],[2. In the last month, how often have you felt unable to control important things in your academic or personal life?]]="Almost never",1,IF(Form_Responses[[#This Row],[2. In the last month, how often have you felt unable to control important things in your academic or personal life?]]="Sometimes",2,IF(Form_Responses[[#This Row],[2. In the last month, how often have you felt unable to control important things in your academic or personal life?]]="Fairly often",3,4))))</f>
        <v>2</v>
      </c>
      <c r="AY4" s="3" t="s">
        <v>88</v>
      </c>
      <c r="AZ4" s="4">
        <f>IF(Form_Responses[[#This Row],[3. In the last month, how often have you felt nervous or stressed because of university responsibilities or personal challenges?]]="Never",0,IF(Form_Responses[[#This Row],[3. In the last month, how often have you felt nervous or stressed because of university responsibilities or personal challenges?]]="Almost never",1,IF(Form_Responses[[#This Row],[3. In the last month, how often have you felt nervous or stressed because of university responsibilities or personal challenges?]]="Sometimes",2,IF(Form_Responses[[#This Row],[3. In the last month, how often have you felt nervous or stressed because of university responsibilities or personal challenges?]]="Fairly often",3,4))))</f>
        <v>3</v>
      </c>
      <c r="BA4" s="3" t="s">
        <v>88</v>
      </c>
      <c r="BB4" s="4">
        <f>IF(Form_Responses[[#This Row],[4. In the last month, how often have you felt confident about your ability to handle academic or personal problems?]]="Never",4,IF(Form_Responses[[#This Row],[4. In the last month, how often have you felt confident about your ability to handle academic or personal problems?]]="Almost never",3,IF(Form_Responses[[#This Row],[4. In the last month, how often have you felt confident about your ability to handle academic or personal problems?]]="Sometimes",2,IF(Form_Responses[[#This Row],[4. In the last month, how often have you felt confident about your ability to handle academic or personal problems?]]="Fairly often",1,0))))</f>
        <v>1</v>
      </c>
      <c r="BC4" s="3" t="s">
        <v>105</v>
      </c>
      <c r="BD4" s="4">
        <f>IF(Form_Responses[[#This Row],[5. In the last month, how often have you felt that things were going well in your studies or personal life?]]="Never",4,IF(Form_Responses[[#This Row],[5. In the last month, how often have you felt that things were going well in your studies or personal life?]]="Almost never",3,IF(Form_Responses[[#This Row],[5. In the last month, how often have you felt that things were going well in your studies or personal life?]]="Sometimes",2,IF(Form_Responses[[#This Row],[5. In the last month, how often have you felt that things were going well in your studies or personal life?]]="Fairly often",1,0))))</f>
        <v>0</v>
      </c>
      <c r="BE4" s="3" t="s">
        <v>89</v>
      </c>
      <c r="BF4" s="4">
        <f>IF(Form_Responses[[#This Row],[6. In the last month, how often have you felt unable to cope with coursework, deadlines, or daily responsibilities?]]="Never",0,IF(Form_Responses[[#This Row],[6. In the last month, how often have you felt unable to cope with coursework, deadlines, or daily responsibilities?]]="Almost never",1,IF(Form_Responses[[#This Row],[6. In the last month, how often have you felt unable to cope with coursework, deadlines, or daily responsibilities?]]="Sometimes",2,IF(Form_Responses[[#This Row],[6. In the last month, how often have you felt unable to cope with coursework, deadlines, or daily responsibilities?]]="Fairly often",3,4))))</f>
        <v>2</v>
      </c>
      <c r="BG4" s="3" t="s">
        <v>89</v>
      </c>
      <c r="BH4" s="4">
        <f>IF(Form_Responses[[#This Row],[7. In the last month, how often have you been able to control irritations or frustrations in your life?]]="Never",4,IF(Form_Responses[[#This Row],[7. In the last month, how often have you been able to control irritations or frustrations in your life?]]="Almost never",3,IF(Form_Responses[[#This Row],[7. In the last month, how often have you been able to control irritations or frustrations in your life?]]="Sometimes",2,IF(Form_Responses[[#This Row],[7. In the last month, how often have you been able to control irritations or frustrations in your life?]]="Fairly often",1,0))))</f>
        <v>2</v>
      </c>
      <c r="BI4" s="3" t="s">
        <v>105</v>
      </c>
      <c r="BJ4" s="4">
        <f>IF(Form_Responses[[#This Row],[8. In the last month, how often have you felt that you were managing your academic and personal responsibilities well?]]="Never",4,IF(Form_Responses[[#This Row],[8. In the last month, how often have you felt that you were managing your academic and personal responsibilities well?]]="Almost never",3,IF(Form_Responses[[#This Row],[8. In the last month, how often have you felt that you were managing your academic and personal responsibilities well?]]="Sometimes",2,IF(Form_Responses[[#This Row],[8. In the last month, how often have you felt that you were managing your academic and personal responsibilities well?]]="Fairly often",1,0))))</f>
        <v>0</v>
      </c>
      <c r="BK4" s="3" t="s">
        <v>89</v>
      </c>
      <c r="BL4" s="5">
        <f>IF(Form_Responses[[#This Row],[9. In the last month, how often have you been angered or frustrated by situations outside your control, such as finances, academics, or relationships?]]="Never",0,IF(Form_Responses[[#This Row],[9. In the last month, how often have you been angered or frustrated by situations outside your control, such as finances, academics, or relationships?]]="Almost never",1,IF(Form_Responses[[#This Row],[9. In the last month, how often have you been angered or frustrated by situations outside your control, such as finances, academics, or relationships?]]="Sometimes",2,IF(Form_Responses[[#This Row],[9. In the last month, how often have you been angered or frustrated by situations outside your control, such as finances, academics, or relationships?]]="Fairly often",3,4))))</f>
        <v>2</v>
      </c>
      <c r="BM4" s="3" t="s">
        <v>88</v>
      </c>
      <c r="BN4" s="4">
        <f>IF(Form_Responses[[#This Row],[10. In the last month, how often have you felt that difficulties were piling up so much that you could not overcome them?]]="Never",0,IF(Form_Responses[[#This Row],[10. In the last month, how often have you felt that difficulties were piling up so much that you could not overcome them?]]="Almost never",1,IF(Form_Responses[[#This Row],[10. In the last month, how often have you felt that difficulties were piling up so much that you could not overcome them?]]="Sometimes",2,IF(Form_Responses[[#This Row],[10. In the last month, how often have you felt that difficulties were piling up so much that you could not overcome them?]]="Fairly often",3,4))))</f>
        <v>3</v>
      </c>
      <c r="BO4" s="4">
        <f>SUM(Form_Responses[[#This Row],[Score17]],Form_Responses[[#This Row],[Score18]],Form_Responses[[#This Row],[Score19]],Form_Responses[[#This Row],[Score20]],Form_Responses[[#This Row],[Score21]],Form_Responses[[#This Row],[Score22]],Form_Responses[[#This Row],[Score23]],Form_Responses[[#This Row],[Score24]],Form_Responses[[#This Row],[Score25]],Form_Responses[[#This Row],[Score26]])</f>
        <v>17</v>
      </c>
      <c r="BP4" s="4" t="str">
        <f>IF(Form_Responses[[#This Row],[Anxiety Score2]]&lt;=13,"Low stress",IF(Form_Responses[[#This Row],[Anxiety Score2]]&lt;=26,"Moderate stress","High stress"))</f>
        <v xml:space="preserve">Moderate stress</v>
      </c>
      <c r="BQ4" s="3" t="s">
        <v>76</v>
      </c>
      <c r="BR4" s="3" t="s">
        <v>76</v>
      </c>
      <c r="BS4" s="3" t="s">
        <v>116</v>
      </c>
      <c r="BT4" s="3" t="s">
        <v>117</v>
      </c>
      <c r="BU4" s="3" t="s">
        <v>76</v>
      </c>
      <c r="BV4" s="3" t="s">
        <v>118</v>
      </c>
      <c r="BW4" s="3" t="s">
        <v>119</v>
      </c>
      <c r="BX4" s="3" t="s">
        <v>120</v>
      </c>
    </row>
    <row r="5" ht="22.5" customHeight="1">
      <c r="A5" s="2">
        <v>46191.99589899306</v>
      </c>
      <c r="B5" s="3" t="s">
        <v>76</v>
      </c>
      <c r="C5" s="3" t="s">
        <v>97</v>
      </c>
      <c r="D5" s="3" t="s">
        <v>78</v>
      </c>
      <c r="E5" s="3" t="s">
        <v>79</v>
      </c>
      <c r="F5" s="3" t="s">
        <v>121</v>
      </c>
      <c r="G5" s="3" t="s">
        <v>81</v>
      </c>
      <c r="H5" s="3" t="s">
        <v>122</v>
      </c>
      <c r="I5" s="3" t="s">
        <v>123</v>
      </c>
      <c r="J5" s="3" t="s">
        <v>84</v>
      </c>
      <c r="K5" s="3" t="s">
        <v>86</v>
      </c>
      <c r="L5" s="4">
        <f>IF(K5="Not at all",0,IF(K5="Several days",1,IF(K5="More than half the days",2,3)))</f>
        <v>1</v>
      </c>
      <c r="M5" s="3" t="s">
        <v>86</v>
      </c>
      <c r="N5" s="4">
        <f>IF(M5="Not at all",0,IF(M5="Several days",1,IF(M5="More than half the days",2,3)))</f>
        <v>1</v>
      </c>
      <c r="O5" s="3" t="s">
        <v>104</v>
      </c>
      <c r="P5" s="5">
        <f>IF(O5="Not at all",0,IF(O5="Several days",1,IF(O5="More than half the days",2,3)))</f>
        <v>3</v>
      </c>
      <c r="Q5" s="3" t="s">
        <v>86</v>
      </c>
      <c r="R5" s="4">
        <f>IF(Q5="Not at all",0,IF(Q5="Several days",1,IF(Q5="More than half the days",2,3)))</f>
        <v>1</v>
      </c>
      <c r="S5" s="3" t="s">
        <v>87</v>
      </c>
      <c r="T5" s="4">
        <f>IF(S5="Not at all",0,IF(S5="Several days",1,IF(S5="More than half the days",2,3)))</f>
        <v>2</v>
      </c>
      <c r="U5" s="3" t="s">
        <v>104</v>
      </c>
      <c r="V5" s="4">
        <f>IF(U5="Not at all",0,IF(U5="Several days",1,IF(U5="More than half the days",2,3)))</f>
        <v>3</v>
      </c>
      <c r="W5" s="3" t="s">
        <v>87</v>
      </c>
      <c r="X5" s="4">
        <f>IF(W5="Not at all",0,IF(W5="Several days",1,IF(W5="More than half the days",2,3)))</f>
        <v>2</v>
      </c>
      <c r="Y5" s="3" t="s">
        <v>87</v>
      </c>
      <c r="Z5" s="4">
        <f>IF(Y5="Not at all",0,IF(Y5="Several days",1,IF(Y5="More than half the days",2,3)))</f>
        <v>2</v>
      </c>
      <c r="AA5" s="3" t="s">
        <v>87</v>
      </c>
      <c r="AB5" s="4">
        <f>IF(AA5="Not at all",0,IF(AA5="Several days",1,IF(AA5="More than half the days",2,3)))</f>
        <v>2</v>
      </c>
      <c r="AC5" s="4">
        <f>SUM(Form_Responses[[#This Row],[Score]],Form_Responses[[#This Row],[Score2]],Form_Responses[[#This Row],[Score3]],Form_Responses[[#This Row],[Score4]],Form_Responses[[#This Row],[Score5]],Form_Responses[[#This Row],[Score6]],Form_Responses[[#This Row],[Score7]],Form_Responses[[#This Row],[Score8]],Form_Responses[[#This Row],[Score9]])</f>
        <v>17</v>
      </c>
      <c r="AD5" s="4" t="str">
        <f>IF(Form_Responses[[#This Row],[Depression Score ]]&lt;=4,"Minimal symptoms",IF(Form_Responses[[#This Row],[Depression Score ]]&lt;=9,"Mild Depression",IF(Form_Responses[[#This Row],[Depression Score ]]&lt;=14,"Moderate depression",IF(Form_Responses[[#This Row],[Depression Score ]]&lt;=19,"Moderately severe depression","Severe depression"))))</f>
        <v xml:space="preserve">Moderately severe depression</v>
      </c>
      <c r="AE5" s="3" t="s">
        <v>87</v>
      </c>
      <c r="AF5" s="4">
        <f>IF(AE5="Not at all",0,IF(AE5="Several days",1,IF(AE5="More than half the days",2,3)))</f>
        <v>2</v>
      </c>
      <c r="AG5" s="3" t="s">
        <v>85</v>
      </c>
      <c r="AH5" s="4">
        <f>IF(AG5="Not at all",0,IF(AG5="Several days",1,IF(AG5="More than half the days",2,3)))</f>
        <v>0</v>
      </c>
      <c r="AI5" s="3" t="s">
        <v>86</v>
      </c>
      <c r="AJ5" s="4">
        <f>IF(AI5="Not at all",0,IF(AI5="Several days",1,IF(AI5="More than half the days",2,3)))</f>
        <v>1</v>
      </c>
      <c r="AK5" s="3" t="s">
        <v>104</v>
      </c>
      <c r="AL5" s="4">
        <f>IF(AK5="Not at all",0,IF(AK5="Several days",1,IF(AK5="More than half the days",2,3)))</f>
        <v>3</v>
      </c>
      <c r="AM5" s="3" t="s">
        <v>86</v>
      </c>
      <c r="AN5" s="4">
        <f>IF(AM5="Not at all",0,IF(AM5="Several days",1,IF(AM5="More than half the days",2,3)))</f>
        <v>1</v>
      </c>
      <c r="AO5" s="3" t="s">
        <v>86</v>
      </c>
      <c r="AP5" s="4">
        <f>IF(AO5="Not at all",0,IF(AO5="Several days",1,IF(AO5="More than half the days",2,3)))</f>
        <v>1</v>
      </c>
      <c r="AQ5" s="3" t="s">
        <v>87</v>
      </c>
      <c r="AR5" s="4">
        <f>IF(AQ5="Not at all",0,IF(AQ5="Several days",1,IF(AQ5="More than half the days",2,3)))</f>
        <v>2</v>
      </c>
      <c r="AS5" s="4">
        <f>SUM(Form_Responses[[#This Row],[Score16]],Form_Responses[[#This Row],[Score10]],Form_Responses[[#This Row],[Score11]],Form_Responses[[#This Row],[Score12]],Form_Responses[[#This Row],[Score13]],Form_Responses[[#This Row],[Score14]],Form_Responses[[#This Row],[Score15]])</f>
        <v>10</v>
      </c>
      <c r="AT5" s="4" t="str">
        <f>IF(Form_Responses[[#This Row],[Anxiety Score]]&lt;=4,"Minimal anxiety",IF(Form_Responses[[#This Row],[Anxiety Score]]&lt;=9,"Mild anxiety",IF(Form_Responses[[#This Row],[Anxiety Score]]&lt;=14,"Moderate anxiety","Severe anxiety")))</f>
        <v xml:space="preserve">Moderate anxiety</v>
      </c>
      <c r="AU5" s="3" t="s">
        <v>124</v>
      </c>
      <c r="AV5" s="4">
        <f>IF(Form_Responses[[#This Row],[1. In the last month, how often have you been upset because of unexpected situations related to academics, finances, or personal life?]]="Never",0,IF(Form_Responses[[#This Row],[1. In the last month, how often have you been upset because of unexpected situations related to academics, finances, or personal life?]]="Almost never",1,IF(Form_Responses[[#This Row],[1. In the last month, how often have you been upset because of unexpected situations related to academics, finances, or personal life?]]="Sometimes",2,IF(Form_Responses[[#This Row],[1. In the last month, how often have you been upset because of unexpected situations related to academics, finances, or personal life?]]="Fairly often",3,4))))</f>
        <v>0</v>
      </c>
      <c r="AW5" s="3" t="s">
        <v>89</v>
      </c>
      <c r="AX5" s="5">
        <f>IF(Form_Responses[[#This Row],[2. In the last month, how often have you felt unable to control important things in your academic or personal life?]]="Never",0,IF(Form_Responses[[#This Row],[2. In the last month, how often have you felt unable to control important things in your academic or personal life?]]="Almost never",1,IF(Form_Responses[[#This Row],[2. In the last month, how often have you felt unable to control important things in your academic or personal life?]]="Sometimes",2,IF(Form_Responses[[#This Row],[2. In the last month, how often have you felt unable to control important things in your academic or personal life?]]="Fairly often",3,4))))</f>
        <v>2</v>
      </c>
      <c r="AY5" s="3" t="s">
        <v>88</v>
      </c>
      <c r="AZ5" s="4">
        <f>IF(Form_Responses[[#This Row],[3. In the last month, how often have you felt nervous or stressed because of university responsibilities or personal challenges?]]="Never",0,IF(Form_Responses[[#This Row],[3. In the last month, how often have you felt nervous or stressed because of university responsibilities or personal challenges?]]="Almost never",1,IF(Form_Responses[[#This Row],[3. In the last month, how often have you felt nervous or stressed because of university responsibilities or personal challenges?]]="Sometimes",2,IF(Form_Responses[[#This Row],[3. In the last month, how often have you felt nervous or stressed because of university responsibilities or personal challenges?]]="Fairly often",3,4))))</f>
        <v>3</v>
      </c>
      <c r="BA5" s="3" t="s">
        <v>105</v>
      </c>
      <c r="BB5" s="4">
        <f>IF(Form_Responses[[#This Row],[4. In the last month, how often have you felt confident about your ability to handle academic or personal problems?]]="Never",4,IF(Form_Responses[[#This Row],[4. In the last month, how often have you felt confident about your ability to handle academic or personal problems?]]="Almost never",3,IF(Form_Responses[[#This Row],[4. In the last month, how often have you felt confident about your ability to handle academic or personal problems?]]="Sometimes",2,IF(Form_Responses[[#This Row],[4. In the last month, how often have you felt confident about your ability to handle academic or personal problems?]]="Fairly often",1,0))))</f>
        <v>0</v>
      </c>
      <c r="BC5" s="3" t="s">
        <v>105</v>
      </c>
      <c r="BD5" s="4">
        <f>IF(Form_Responses[[#This Row],[5. In the last month, how often have you felt that things were going well in your studies or personal life?]]="Never",4,IF(Form_Responses[[#This Row],[5. In the last month, how often have you felt that things were going well in your studies or personal life?]]="Almost never",3,IF(Form_Responses[[#This Row],[5. In the last month, how often have you felt that things were going well in your studies or personal life?]]="Sometimes",2,IF(Form_Responses[[#This Row],[5. In the last month, how often have you felt that things were going well in your studies or personal life?]]="Fairly often",1,0))))</f>
        <v>0</v>
      </c>
      <c r="BE5" s="3" t="s">
        <v>105</v>
      </c>
      <c r="BF5" s="4">
        <f>IF(Form_Responses[[#This Row],[6. In the last month, how often have you felt unable to cope with coursework, deadlines, or daily responsibilities?]]="Never",0,IF(Form_Responses[[#This Row],[6. In the last month, how often have you felt unable to cope with coursework, deadlines, or daily responsibilities?]]="Almost never",1,IF(Form_Responses[[#This Row],[6. In the last month, how often have you felt unable to cope with coursework, deadlines, or daily responsibilities?]]="Sometimes",2,IF(Form_Responses[[#This Row],[6. In the last month, how often have you felt unable to cope with coursework, deadlines, or daily responsibilities?]]="Fairly often",3,4))))</f>
        <v>4</v>
      </c>
      <c r="BG5" s="3" t="s">
        <v>105</v>
      </c>
      <c r="BH5" s="4">
        <f>IF(Form_Responses[[#This Row],[7. In the last month, how often have you been able to control irritations or frustrations in your life?]]="Never",4,IF(Form_Responses[[#This Row],[7. In the last month, how often have you been able to control irritations or frustrations in your life?]]="Almost never",3,IF(Form_Responses[[#This Row],[7. In the last month, how often have you been able to control irritations or frustrations in your life?]]="Sometimes",2,IF(Form_Responses[[#This Row],[7. In the last month, how often have you been able to control irritations or frustrations in your life?]]="Fairly often",1,0))))</f>
        <v>0</v>
      </c>
      <c r="BI5" s="3" t="s">
        <v>105</v>
      </c>
      <c r="BJ5" s="4">
        <f>IF(Form_Responses[[#This Row],[8. In the last month, how often have you felt that you were managing your academic and personal responsibilities well?]]="Never",4,IF(Form_Responses[[#This Row],[8. In the last month, how often have you felt that you were managing your academic and personal responsibilities well?]]="Almost never",3,IF(Form_Responses[[#This Row],[8. In the last month, how often have you felt that you were managing your academic and personal responsibilities well?]]="Sometimes",2,IF(Form_Responses[[#This Row],[8. In the last month, how often have you felt that you were managing your academic and personal responsibilities well?]]="Fairly often",1,0))))</f>
        <v>0</v>
      </c>
      <c r="BK5" s="3" t="s">
        <v>105</v>
      </c>
      <c r="BL5" s="5">
        <f>IF(Form_Responses[[#This Row],[9. In the last month, how often have you been angered or frustrated by situations outside your control, such as finances, academics, or relationships?]]="Never",0,IF(Form_Responses[[#This Row],[9. In the last month, how often have you been angered or frustrated by situations outside your control, such as finances, academics, or relationships?]]="Almost never",1,IF(Form_Responses[[#This Row],[9. In the last month, how often have you been angered or frustrated by situations outside your control, such as finances, academics, or relationships?]]="Sometimes",2,IF(Form_Responses[[#This Row],[9. In the last month, how often have you been angered or frustrated by situations outside your control, such as finances, academics, or relationships?]]="Fairly often",3,4))))</f>
        <v>4</v>
      </c>
      <c r="BM5" s="3" t="s">
        <v>105</v>
      </c>
      <c r="BN5" s="4">
        <f>IF(Form_Responses[[#This Row],[10. In the last month, how often have you felt that difficulties were piling up so much that you could not overcome them?]]="Never",0,IF(Form_Responses[[#This Row],[10. In the last month, how often have you felt that difficulties were piling up so much that you could not overcome them?]]="Almost never",1,IF(Form_Responses[[#This Row],[10. In the last month, how often have you felt that difficulties were piling up so much that you could not overcome them?]]="Sometimes",2,IF(Form_Responses[[#This Row],[10. In the last month, how often have you felt that difficulties were piling up so much that you could not overcome them?]]="Fairly often",3,4))))</f>
        <v>4</v>
      </c>
      <c r="BO5" s="4">
        <f>SUM(Form_Responses[[#This Row],[Score17]],Form_Responses[[#This Row],[Score18]],Form_Responses[[#This Row],[Score19]],Form_Responses[[#This Row],[Score20]],Form_Responses[[#This Row],[Score21]],Form_Responses[[#This Row],[Score22]],Form_Responses[[#This Row],[Score23]],Form_Responses[[#This Row],[Score24]],Form_Responses[[#This Row],[Score25]],Form_Responses[[#This Row],[Score26]])</f>
        <v>17</v>
      </c>
      <c r="BP5" s="4" t="str">
        <f>IF(Form_Responses[[#This Row],[Anxiety Score2]]&lt;=13,"Low stress",IF(Form_Responses[[#This Row],[Anxiety Score2]]&lt;=26,"Moderate stress","High stress"))</f>
        <v xml:space="preserve">Moderate stress</v>
      </c>
      <c r="BQ5" s="3" t="s">
        <v>91</v>
      </c>
      <c r="BR5" s="3" t="s">
        <v>91</v>
      </c>
      <c r="BS5" s="3" t="s">
        <v>125</v>
      </c>
      <c r="BT5" s="3" t="s">
        <v>126</v>
      </c>
      <c r="BU5" s="3" t="s">
        <v>91</v>
      </c>
      <c r="BV5" s="3" t="s">
        <v>127</v>
      </c>
      <c r="BW5" s="3" t="s">
        <v>128</v>
      </c>
      <c r="BX5" s="3" t="s">
        <v>129</v>
      </c>
    </row>
    <row r="6" ht="22.5" customHeight="1">
      <c r="A6" s="2">
        <v>46191.999465648143</v>
      </c>
      <c r="B6" s="3" t="s">
        <v>76</v>
      </c>
      <c r="C6" s="3" t="s">
        <v>77</v>
      </c>
      <c r="D6" s="3" t="s">
        <v>78</v>
      </c>
      <c r="E6" s="3" t="s">
        <v>79</v>
      </c>
      <c r="F6" s="3" t="s">
        <v>130</v>
      </c>
      <c r="G6" s="3" t="s">
        <v>131</v>
      </c>
      <c r="H6" s="3" t="s">
        <v>101</v>
      </c>
      <c r="I6" s="3" t="s">
        <v>83</v>
      </c>
      <c r="J6" s="3" t="s">
        <v>84</v>
      </c>
      <c r="K6" s="3" t="s">
        <v>86</v>
      </c>
      <c r="L6" s="4">
        <f>IF(K6="Not at all",0,IF(K6="Several days",1,IF(K6="More than half the days",2,3)))</f>
        <v>1</v>
      </c>
      <c r="M6" s="3" t="s">
        <v>87</v>
      </c>
      <c r="N6" s="4">
        <f>IF(M6="Not at all",0,IF(M6="Several days",1,IF(M6="More than half the days",2,3)))</f>
        <v>2</v>
      </c>
      <c r="O6" s="3" t="s">
        <v>85</v>
      </c>
      <c r="P6" s="5">
        <f>IF(O6="Not at all",0,IF(O6="Several days",1,IF(O6="More than half the days",2,3)))</f>
        <v>0</v>
      </c>
      <c r="Q6" s="3" t="s">
        <v>86</v>
      </c>
      <c r="R6" s="4">
        <f>IF(Q6="Not at all",0,IF(Q6="Several days",1,IF(Q6="More than half the days",2,3)))</f>
        <v>1</v>
      </c>
      <c r="S6" s="3" t="s">
        <v>85</v>
      </c>
      <c r="T6" s="4">
        <f>IF(S6="Not at all",0,IF(S6="Several days",1,IF(S6="More than half the days",2,3)))</f>
        <v>0</v>
      </c>
      <c r="U6" s="3" t="s">
        <v>85</v>
      </c>
      <c r="V6" s="4">
        <f>IF(U6="Not at all",0,IF(U6="Several days",1,IF(U6="More than half the days",2,3)))</f>
        <v>0</v>
      </c>
      <c r="W6" s="3" t="s">
        <v>85</v>
      </c>
      <c r="X6" s="4">
        <f>IF(W6="Not at all",0,IF(W6="Several days",1,IF(W6="More than half the days",2,3)))</f>
        <v>0</v>
      </c>
      <c r="Y6" s="3" t="s">
        <v>85</v>
      </c>
      <c r="Z6" s="4">
        <f>IF(Y6="Not at all",0,IF(Y6="Several days",1,IF(Y6="More than half the days",2,3)))</f>
        <v>0</v>
      </c>
      <c r="AA6" s="3" t="s">
        <v>86</v>
      </c>
      <c r="AB6" s="4">
        <f>IF(AA6="Not at all",0,IF(AA6="Several days",1,IF(AA6="More than half the days",2,3)))</f>
        <v>1</v>
      </c>
      <c r="AC6" s="4">
        <f>SUM(Form_Responses[[#This Row],[Score]],Form_Responses[[#This Row],[Score2]],Form_Responses[[#This Row],[Score3]],Form_Responses[[#This Row],[Score4]],Form_Responses[[#This Row],[Score5]],Form_Responses[[#This Row],[Score6]],Form_Responses[[#This Row],[Score7]],Form_Responses[[#This Row],[Score8]],Form_Responses[[#This Row],[Score9]])</f>
        <v>5</v>
      </c>
      <c r="AD6" s="4" t="str">
        <f>IF(Form_Responses[[#This Row],[Depression Score ]]&lt;=4,"Minimal symptoms",IF(Form_Responses[[#This Row],[Depression Score ]]&lt;=9,"Mild Depression",IF(Form_Responses[[#This Row],[Depression Score ]]&lt;=14,"Moderate depression",IF(Form_Responses[[#This Row],[Depression Score ]]&lt;=19,"Moderately severe depression","Severe depression"))))</f>
        <v xml:space="preserve">Mild Depression</v>
      </c>
      <c r="AE6" s="3" t="s">
        <v>85</v>
      </c>
      <c r="AF6" s="4">
        <f>IF(AE6="Not at all",0,IF(AE6="Several days",1,IF(AE6="More than half the days",2,3)))</f>
        <v>0</v>
      </c>
      <c r="AG6" s="3" t="s">
        <v>85</v>
      </c>
      <c r="AH6" s="4">
        <f>IF(AG6="Not at all",0,IF(AG6="Several days",1,IF(AG6="More than half the days",2,3)))</f>
        <v>0</v>
      </c>
      <c r="AI6" s="3" t="s">
        <v>86</v>
      </c>
      <c r="AJ6" s="4">
        <f>IF(AI6="Not at all",0,IF(AI6="Several days",1,IF(AI6="More than half the days",2,3)))</f>
        <v>1</v>
      </c>
      <c r="AK6" s="3" t="s">
        <v>86</v>
      </c>
      <c r="AL6" s="4">
        <f>IF(AK6="Not at all",0,IF(AK6="Several days",1,IF(AK6="More than half the days",2,3)))</f>
        <v>1</v>
      </c>
      <c r="AM6" s="3" t="s">
        <v>85</v>
      </c>
      <c r="AN6" s="4">
        <f>IF(AM6="Not at all",0,IF(AM6="Several days",1,IF(AM6="More than half the days",2,3)))</f>
        <v>0</v>
      </c>
      <c r="AO6" s="3" t="s">
        <v>86</v>
      </c>
      <c r="AP6" s="4">
        <f>IF(AO6="Not at all",0,IF(AO6="Several days",1,IF(AO6="More than half the days",2,3)))</f>
        <v>1</v>
      </c>
      <c r="AQ6" s="3" t="s">
        <v>86</v>
      </c>
      <c r="AR6" s="4">
        <f>IF(AQ6="Not at all",0,IF(AQ6="Several days",1,IF(AQ6="More than half the days",2,3)))</f>
        <v>1</v>
      </c>
      <c r="AS6" s="4">
        <f>SUM(Form_Responses[[#This Row],[Score16]],Form_Responses[[#This Row],[Score10]],Form_Responses[[#This Row],[Score11]],Form_Responses[[#This Row],[Score12]],Form_Responses[[#This Row],[Score13]],Form_Responses[[#This Row],[Score14]],Form_Responses[[#This Row],[Score15]])</f>
        <v>4</v>
      </c>
      <c r="AT6" s="4" t="str">
        <f>IF(Form_Responses[[#This Row],[Anxiety Score]]&lt;=4,"Minimal anxiety",IF(Form_Responses[[#This Row],[Anxiety Score]]&lt;=9,"Mild anxiety",IF(Form_Responses[[#This Row],[Anxiety Score]]&lt;=14,"Moderate anxiety","Severe anxiety")))</f>
        <v xml:space="preserve">Minimal anxiety</v>
      </c>
      <c r="AU6" s="3" t="s">
        <v>88</v>
      </c>
      <c r="AV6" s="4">
        <f>IF(Form_Responses[[#This Row],[1. In the last month, how often have you been upset because of unexpected situations related to academics, finances, or personal life?]]="Never",0,IF(Form_Responses[[#This Row],[1. In the last month, how often have you been upset because of unexpected situations related to academics, finances, or personal life?]]="Almost never",1,IF(Form_Responses[[#This Row],[1. In the last month, how often have you been upset because of unexpected situations related to academics, finances, or personal life?]]="Sometimes",2,IF(Form_Responses[[#This Row],[1. In the last month, how often have you been upset because of unexpected situations related to academics, finances, or personal life?]]="Fairly often",3,4))))</f>
        <v>3</v>
      </c>
      <c r="AW6" s="3" t="s">
        <v>90</v>
      </c>
      <c r="AX6" s="5">
        <f>IF(Form_Responses[[#This Row],[2. In the last month, how often have you felt unable to control important things in your academic or personal life?]]="Never",0,IF(Form_Responses[[#This Row],[2. In the last month, how often have you felt unable to control important things in your academic or personal life?]]="Almost never",1,IF(Form_Responses[[#This Row],[2. In the last month, how often have you felt unable to control important things in your academic or personal life?]]="Sometimes",2,IF(Form_Responses[[#This Row],[2. In the last month, how often have you felt unable to control important things in your academic or personal life?]]="Fairly often",3,4))))</f>
        <v>1</v>
      </c>
      <c r="AY6" s="3" t="s">
        <v>89</v>
      </c>
      <c r="AZ6" s="4">
        <f>IF(Form_Responses[[#This Row],[3. In the last month, how often have you felt nervous or stressed because of university responsibilities or personal challenges?]]="Never",0,IF(Form_Responses[[#This Row],[3. In the last month, how often have you felt nervous or stressed because of university responsibilities or personal challenges?]]="Almost never",1,IF(Form_Responses[[#This Row],[3. In the last month, how often have you felt nervous or stressed because of university responsibilities or personal challenges?]]="Sometimes",2,IF(Form_Responses[[#This Row],[3. In the last month, how often have you felt nervous or stressed because of university responsibilities or personal challenges?]]="Fairly often",3,4))))</f>
        <v>2</v>
      </c>
      <c r="BA6" s="3" t="s">
        <v>88</v>
      </c>
      <c r="BB6" s="4">
        <f>IF(Form_Responses[[#This Row],[4. In the last month, how often have you felt confident about your ability to handle academic or personal problems?]]="Never",4,IF(Form_Responses[[#This Row],[4. In the last month, how often have you felt confident about your ability to handle academic or personal problems?]]="Almost never",3,IF(Form_Responses[[#This Row],[4. In the last month, how often have you felt confident about your ability to handle academic or personal problems?]]="Sometimes",2,IF(Form_Responses[[#This Row],[4. In the last month, how often have you felt confident about your ability to handle academic or personal problems?]]="Fairly often",1,0))))</f>
        <v>1</v>
      </c>
      <c r="BC6" s="3" t="s">
        <v>90</v>
      </c>
      <c r="BD6" s="4">
        <f>IF(Form_Responses[[#This Row],[5. In the last month, how often have you felt that things were going well in your studies or personal life?]]="Never",4,IF(Form_Responses[[#This Row],[5. In the last month, how often have you felt that things were going well in your studies or personal life?]]="Almost never",3,IF(Form_Responses[[#This Row],[5. In the last month, how often have you felt that things were going well in your studies or personal life?]]="Sometimes",2,IF(Form_Responses[[#This Row],[5. In the last month, how often have you felt that things were going well in your studies or personal life?]]="Fairly often",1,0))))</f>
        <v>3</v>
      </c>
      <c r="BE6" s="3" t="s">
        <v>89</v>
      </c>
      <c r="BF6" s="4">
        <f>IF(Form_Responses[[#This Row],[6. In the last month, how often have you felt unable to cope with coursework, deadlines, or daily responsibilities?]]="Never",0,IF(Form_Responses[[#This Row],[6. In the last month, how often have you felt unable to cope with coursework, deadlines, or daily responsibilities?]]="Almost never",1,IF(Form_Responses[[#This Row],[6. In the last month, how often have you felt unable to cope with coursework, deadlines, or daily responsibilities?]]="Sometimes",2,IF(Form_Responses[[#This Row],[6. In the last month, how often have you felt unable to cope with coursework, deadlines, or daily responsibilities?]]="Fairly often",3,4))))</f>
        <v>2</v>
      </c>
      <c r="BG6" s="3" t="s">
        <v>90</v>
      </c>
      <c r="BH6" s="4">
        <f>IF(Form_Responses[[#This Row],[7. In the last month, how often have you been able to control irritations or frustrations in your life?]]="Never",4,IF(Form_Responses[[#This Row],[7. In the last month, how often have you been able to control irritations or frustrations in your life?]]="Almost never",3,IF(Form_Responses[[#This Row],[7. In the last month, how often have you been able to control irritations or frustrations in your life?]]="Sometimes",2,IF(Form_Responses[[#This Row],[7. In the last month, how often have you been able to control irritations or frustrations in your life?]]="Fairly often",1,0))))</f>
        <v>3</v>
      </c>
      <c r="BI6" s="3" t="s">
        <v>90</v>
      </c>
      <c r="BJ6" s="4">
        <f>IF(Form_Responses[[#This Row],[8. In the last month, how often have you felt that you were managing your academic and personal responsibilities well?]]="Never",4,IF(Form_Responses[[#This Row],[8. In the last month, how often have you felt that you were managing your academic and personal responsibilities well?]]="Almost never",3,IF(Form_Responses[[#This Row],[8. In the last month, how often have you felt that you were managing your academic and personal responsibilities well?]]="Sometimes",2,IF(Form_Responses[[#This Row],[8. In the last month, how often have you felt that you were managing your academic and personal responsibilities well?]]="Fairly often",1,0))))</f>
        <v>3</v>
      </c>
      <c r="BK6" s="3" t="s">
        <v>90</v>
      </c>
      <c r="BL6" s="5">
        <f>IF(Form_Responses[[#This Row],[9. In the last month, how often have you been angered or frustrated by situations outside your control, such as finances, academics, or relationships?]]="Never",0,IF(Form_Responses[[#This Row],[9. In the last month, how often have you been angered or frustrated by situations outside your control, such as finances, academics, or relationships?]]="Almost never",1,IF(Form_Responses[[#This Row],[9. In the last month, how often have you been angered or frustrated by situations outside your control, such as finances, academics, or relationships?]]="Sometimes",2,IF(Form_Responses[[#This Row],[9. In the last month, how often have you been angered or frustrated by situations outside your control, such as finances, academics, or relationships?]]="Fairly often",3,4))))</f>
        <v>1</v>
      </c>
      <c r="BM6" s="3" t="s">
        <v>90</v>
      </c>
      <c r="BN6" s="4">
        <f>IF(Form_Responses[[#This Row],[10. In the last month, how often have you felt that difficulties were piling up so much that you could not overcome them?]]="Never",0,IF(Form_Responses[[#This Row],[10. In the last month, how often have you felt that difficulties were piling up so much that you could not overcome them?]]="Almost never",1,IF(Form_Responses[[#This Row],[10. In the last month, how often have you felt that difficulties were piling up so much that you could not overcome them?]]="Sometimes",2,IF(Form_Responses[[#This Row],[10. In the last month, how often have you felt that difficulties were piling up so much that you could not overcome them?]]="Fairly often",3,4))))</f>
        <v>1</v>
      </c>
      <c r="BO6" s="4">
        <f>SUM(Form_Responses[[#This Row],[Score17]],Form_Responses[[#This Row],[Score18]],Form_Responses[[#This Row],[Score19]],Form_Responses[[#This Row],[Score20]],Form_Responses[[#This Row],[Score21]],Form_Responses[[#This Row],[Score22]],Form_Responses[[#This Row],[Score23]],Form_Responses[[#This Row],[Score24]],Form_Responses[[#This Row],[Score25]],Form_Responses[[#This Row],[Score26]])</f>
        <v>20</v>
      </c>
      <c r="BP6" s="4" t="str">
        <f>IF(Form_Responses[[#This Row],[Anxiety Score2]]&lt;=13,"Low stress",IF(Form_Responses[[#This Row],[Anxiety Score2]]&lt;=26,"Moderate stress","High stress"))</f>
        <v xml:space="preserve">Moderate stress</v>
      </c>
      <c r="BQ6" s="3" t="s">
        <v>76</v>
      </c>
      <c r="BR6" s="3" t="s">
        <v>76</v>
      </c>
      <c r="BS6" s="3" t="s">
        <v>132</v>
      </c>
      <c r="BT6" s="3" t="s">
        <v>126</v>
      </c>
      <c r="BU6" s="3" t="s">
        <v>76</v>
      </c>
      <c r="BV6" s="3" t="s">
        <v>133</v>
      </c>
      <c r="BW6" s="3" t="s">
        <v>134</v>
      </c>
      <c r="BX6" s="3" t="s">
        <v>135</v>
      </c>
    </row>
    <row r="7" ht="22.5" customHeight="1">
      <c r="A7" s="2">
        <v>46192.00439814815</v>
      </c>
      <c r="B7" s="3" t="s">
        <v>76</v>
      </c>
      <c r="C7" s="3" t="s">
        <v>77</v>
      </c>
      <c r="D7" s="3" t="s">
        <v>78</v>
      </c>
      <c r="E7" s="3" t="s">
        <v>79</v>
      </c>
      <c r="F7" s="3" t="s">
        <v>130</v>
      </c>
      <c r="G7" s="3" t="s">
        <v>131</v>
      </c>
      <c r="H7" s="3" t="s">
        <v>101</v>
      </c>
      <c r="I7" s="3" t="s">
        <v>114</v>
      </c>
      <c r="J7" s="3" t="s">
        <v>84</v>
      </c>
      <c r="K7" s="3" t="s">
        <v>86</v>
      </c>
      <c r="L7" s="4">
        <f>IF(K7="Not at all",0,IF(K7="Several days",1,IF(K7="More than half the days",2,3)))</f>
        <v>1</v>
      </c>
      <c r="M7" s="3" t="s">
        <v>86</v>
      </c>
      <c r="N7" s="4">
        <f>IF(M7="Not at all",0,IF(M7="Several days",1,IF(M7="More than half the days",2,3)))</f>
        <v>1</v>
      </c>
      <c r="O7" s="3" t="s">
        <v>86</v>
      </c>
      <c r="P7" s="5">
        <f>IF(O7="Not at all",0,IF(O7="Several days",1,IF(O7="More than half the days",2,3)))</f>
        <v>1</v>
      </c>
      <c r="Q7" s="3" t="s">
        <v>87</v>
      </c>
      <c r="R7" s="4">
        <f>IF(Q7="Not at all",0,IF(Q7="Several days",1,IF(Q7="More than half the days",2,3)))</f>
        <v>2</v>
      </c>
      <c r="S7" s="3" t="s">
        <v>85</v>
      </c>
      <c r="T7" s="4">
        <f>IF(S7="Not at all",0,IF(S7="Several days",1,IF(S7="More than half the days",2,3)))</f>
        <v>0</v>
      </c>
      <c r="U7" s="3" t="s">
        <v>86</v>
      </c>
      <c r="V7" s="4">
        <f>IF(U7="Not at all",0,IF(U7="Several days",1,IF(U7="More than half the days",2,3)))</f>
        <v>1</v>
      </c>
      <c r="W7" s="3" t="s">
        <v>104</v>
      </c>
      <c r="X7" s="4">
        <f>IF(W7="Not at all",0,IF(W7="Several days",1,IF(W7="More than half the days",2,3)))</f>
        <v>3</v>
      </c>
      <c r="Y7" s="3" t="s">
        <v>86</v>
      </c>
      <c r="Z7" s="4">
        <f>IF(Y7="Not at all",0,IF(Y7="Several days",1,IF(Y7="More than half the days",2,3)))</f>
        <v>1</v>
      </c>
      <c r="AA7" s="3" t="s">
        <v>85</v>
      </c>
      <c r="AB7" s="4">
        <f>IF(AA7="Not at all",0,IF(AA7="Several days",1,IF(AA7="More than half the days",2,3)))</f>
        <v>0</v>
      </c>
      <c r="AC7" s="4">
        <f>SUM(Form_Responses[[#This Row],[Score]],Form_Responses[[#This Row],[Score2]],Form_Responses[[#This Row],[Score3]],Form_Responses[[#This Row],[Score4]],Form_Responses[[#This Row],[Score5]],Form_Responses[[#This Row],[Score6]],Form_Responses[[#This Row],[Score7]],Form_Responses[[#This Row],[Score8]],Form_Responses[[#This Row],[Score9]])</f>
        <v>10</v>
      </c>
      <c r="AD7" s="4" t="str">
        <f>IF(Form_Responses[[#This Row],[Depression Score ]]&lt;=4,"Minimal symptoms",IF(Form_Responses[[#This Row],[Depression Score ]]&lt;=9,"Mild Depression",IF(Form_Responses[[#This Row],[Depression Score ]]&lt;=14,"Moderate depression",IF(Form_Responses[[#This Row],[Depression Score ]]&lt;=19,"Moderately severe depression","Severe depression"))))</f>
        <v xml:space="preserve">Moderate depression</v>
      </c>
      <c r="AE7" s="3" t="s">
        <v>87</v>
      </c>
      <c r="AF7" s="4">
        <f>IF(AE7="Not at all",0,IF(AE7="Several days",1,IF(AE7="More than half the days",2,3)))</f>
        <v>2</v>
      </c>
      <c r="AG7" s="3" t="s">
        <v>104</v>
      </c>
      <c r="AH7" s="4">
        <f>IF(AG7="Not at all",0,IF(AG7="Several days",1,IF(AG7="More than half the days",2,3)))</f>
        <v>3</v>
      </c>
      <c r="AI7" s="3" t="s">
        <v>104</v>
      </c>
      <c r="AJ7" s="4">
        <f>IF(AI7="Not at all",0,IF(AI7="Several days",1,IF(AI7="More than half the days",2,3)))</f>
        <v>3</v>
      </c>
      <c r="AK7" s="3" t="s">
        <v>85</v>
      </c>
      <c r="AL7" s="4">
        <f>IF(AK7="Not at all",0,IF(AK7="Several days",1,IF(AK7="More than half the days",2,3)))</f>
        <v>0</v>
      </c>
      <c r="AM7" s="3" t="s">
        <v>85</v>
      </c>
      <c r="AN7" s="4">
        <f>IF(AM7="Not at all",0,IF(AM7="Several days",1,IF(AM7="More than half the days",2,3)))</f>
        <v>0</v>
      </c>
      <c r="AO7" s="3" t="s">
        <v>86</v>
      </c>
      <c r="AP7" s="4">
        <f>IF(AO7="Not at all",0,IF(AO7="Several days",1,IF(AO7="More than half the days",2,3)))</f>
        <v>1</v>
      </c>
      <c r="AQ7" s="3" t="s">
        <v>104</v>
      </c>
      <c r="AR7" s="4">
        <f>IF(AQ7="Not at all",0,IF(AQ7="Several days",1,IF(AQ7="More than half the days",2,3)))</f>
        <v>3</v>
      </c>
      <c r="AS7" s="4">
        <f>SUM(Form_Responses[[#This Row],[Score16]],Form_Responses[[#This Row],[Score10]],Form_Responses[[#This Row],[Score11]],Form_Responses[[#This Row],[Score12]],Form_Responses[[#This Row],[Score13]],Form_Responses[[#This Row],[Score14]],Form_Responses[[#This Row],[Score15]])</f>
        <v>12</v>
      </c>
      <c r="AT7" s="4" t="str">
        <f>IF(Form_Responses[[#This Row],[Anxiety Score]]&lt;=4,"Minimal anxiety",IF(Form_Responses[[#This Row],[Anxiety Score]]&lt;=9,"Mild anxiety",IF(Form_Responses[[#This Row],[Anxiety Score]]&lt;=14,"Moderate anxiety","Severe anxiety")))</f>
        <v xml:space="preserve">Moderate anxiety</v>
      </c>
      <c r="AU7" s="3" t="s">
        <v>88</v>
      </c>
      <c r="AV7" s="4">
        <f>IF(Form_Responses[[#This Row],[1. In the last month, how often have you been upset because of unexpected situations related to academics, finances, or personal life?]]="Never",0,IF(Form_Responses[[#This Row],[1. In the last month, how often have you been upset because of unexpected situations related to academics, finances, or personal life?]]="Almost never",1,IF(Form_Responses[[#This Row],[1. In the last month, how often have you been upset because of unexpected situations related to academics, finances, or personal life?]]="Sometimes",2,IF(Form_Responses[[#This Row],[1. In the last month, how often have you been upset because of unexpected situations related to academics, finances, or personal life?]]="Fairly often",3,4))))</f>
        <v>3</v>
      </c>
      <c r="AW7" s="3" t="s">
        <v>90</v>
      </c>
      <c r="AX7" s="5">
        <f>IF(Form_Responses[[#This Row],[2. In the last month, how often have you felt unable to control important things in your academic or personal life?]]="Never",0,IF(Form_Responses[[#This Row],[2. In the last month, how often have you felt unable to control important things in your academic or personal life?]]="Almost never",1,IF(Form_Responses[[#This Row],[2. In the last month, how often have you felt unable to control important things in your academic or personal life?]]="Sometimes",2,IF(Form_Responses[[#This Row],[2. In the last month, how often have you felt unable to control important things in your academic or personal life?]]="Fairly often",3,4))))</f>
        <v>1</v>
      </c>
      <c r="AY7" s="3" t="s">
        <v>89</v>
      </c>
      <c r="AZ7" s="4">
        <f>IF(Form_Responses[[#This Row],[3. In the last month, how often have you felt nervous or stressed because of university responsibilities or personal challenges?]]="Never",0,IF(Form_Responses[[#This Row],[3. In the last month, how often have you felt nervous or stressed because of university responsibilities or personal challenges?]]="Almost never",1,IF(Form_Responses[[#This Row],[3. In the last month, how often have you felt nervous or stressed because of university responsibilities or personal challenges?]]="Sometimes",2,IF(Form_Responses[[#This Row],[3. In the last month, how often have you felt nervous or stressed because of university responsibilities or personal challenges?]]="Fairly often",3,4))))</f>
        <v>2</v>
      </c>
      <c r="BA7" s="3" t="s">
        <v>105</v>
      </c>
      <c r="BB7" s="4">
        <f>IF(Form_Responses[[#This Row],[4. In the last month, how often have you felt confident about your ability to handle academic or personal problems?]]="Never",4,IF(Form_Responses[[#This Row],[4. In the last month, how often have you felt confident about your ability to handle academic or personal problems?]]="Almost never",3,IF(Form_Responses[[#This Row],[4. In the last month, how often have you felt confident about your ability to handle academic or personal problems?]]="Sometimes",2,IF(Form_Responses[[#This Row],[4. In the last month, how often have you felt confident about your ability to handle academic or personal problems?]]="Fairly often",1,0))))</f>
        <v>0</v>
      </c>
      <c r="BC7" s="3" t="s">
        <v>90</v>
      </c>
      <c r="BD7" s="4">
        <f>IF(Form_Responses[[#This Row],[5. In the last month, how often have you felt that things were going well in your studies or personal life?]]="Never",4,IF(Form_Responses[[#This Row],[5. In the last month, how often have you felt that things were going well in your studies or personal life?]]="Almost never",3,IF(Form_Responses[[#This Row],[5. In the last month, how often have you felt that things were going well in your studies or personal life?]]="Sometimes",2,IF(Form_Responses[[#This Row],[5. In the last month, how often have you felt that things were going well in your studies or personal life?]]="Fairly often",1,0))))</f>
        <v>3</v>
      </c>
      <c r="BE7" s="3" t="s">
        <v>105</v>
      </c>
      <c r="BF7" s="4">
        <f>IF(Form_Responses[[#This Row],[6. In the last month, how often have you felt unable to cope with coursework, deadlines, or daily responsibilities?]]="Never",0,IF(Form_Responses[[#This Row],[6. In the last month, how often have you felt unable to cope with coursework, deadlines, or daily responsibilities?]]="Almost never",1,IF(Form_Responses[[#This Row],[6. In the last month, how often have you felt unable to cope with coursework, deadlines, or daily responsibilities?]]="Sometimes",2,IF(Form_Responses[[#This Row],[6. In the last month, how often have you felt unable to cope with coursework, deadlines, or daily responsibilities?]]="Fairly often",3,4))))</f>
        <v>4</v>
      </c>
      <c r="BG7" s="3" t="s">
        <v>89</v>
      </c>
      <c r="BH7" s="4">
        <f>IF(Form_Responses[[#This Row],[7. In the last month, how often have you been able to control irritations or frustrations in your life?]]="Never",4,IF(Form_Responses[[#This Row],[7. In the last month, how often have you been able to control irritations or frustrations in your life?]]="Almost never",3,IF(Form_Responses[[#This Row],[7. In the last month, how often have you been able to control irritations or frustrations in your life?]]="Sometimes",2,IF(Form_Responses[[#This Row],[7. In the last month, how often have you been able to control irritations or frustrations in your life?]]="Fairly often",1,0))))</f>
        <v>2</v>
      </c>
      <c r="BI7" s="3" t="s">
        <v>89</v>
      </c>
      <c r="BJ7" s="4">
        <f>IF(Form_Responses[[#This Row],[8. In the last month, how often have you felt that you were managing your academic and personal responsibilities well?]]="Never",4,IF(Form_Responses[[#This Row],[8. In the last month, how often have you felt that you were managing your academic and personal responsibilities well?]]="Almost never",3,IF(Form_Responses[[#This Row],[8. In the last month, how often have you felt that you were managing your academic and personal responsibilities well?]]="Sometimes",2,IF(Form_Responses[[#This Row],[8. In the last month, how often have you felt that you were managing your academic and personal responsibilities well?]]="Fairly often",1,0))))</f>
        <v>2</v>
      </c>
      <c r="BK7" s="3" t="s">
        <v>90</v>
      </c>
      <c r="BL7" s="5">
        <f>IF(Form_Responses[[#This Row],[9. In the last month, how often have you been angered or frustrated by situations outside your control, such as finances, academics, or relationships?]]="Never",0,IF(Form_Responses[[#This Row],[9. In the last month, how often have you been angered or frustrated by situations outside your control, such as finances, academics, or relationships?]]="Almost never",1,IF(Form_Responses[[#This Row],[9. In the last month, how often have you been angered or frustrated by situations outside your control, such as finances, academics, or relationships?]]="Sometimes",2,IF(Form_Responses[[#This Row],[9. In the last month, how often have you been angered or frustrated by situations outside your control, such as finances, academics, or relationships?]]="Fairly often",3,4))))</f>
        <v>1</v>
      </c>
      <c r="BM7" s="3" t="s">
        <v>89</v>
      </c>
      <c r="BN7" s="4">
        <f>IF(Form_Responses[[#This Row],[10. In the last month, how often have you felt that difficulties were piling up so much that you could not overcome them?]]="Never",0,IF(Form_Responses[[#This Row],[10. In the last month, how often have you felt that difficulties were piling up so much that you could not overcome them?]]="Almost never",1,IF(Form_Responses[[#This Row],[10. In the last month, how often have you felt that difficulties were piling up so much that you could not overcome them?]]="Sometimes",2,IF(Form_Responses[[#This Row],[10. In the last month, how often have you felt that difficulties were piling up so much that you could not overcome them?]]="Fairly often",3,4))))</f>
        <v>2</v>
      </c>
      <c r="BO7" s="4">
        <f>SUM(Form_Responses[[#This Row],[Score17]],Form_Responses[[#This Row],[Score18]],Form_Responses[[#This Row],[Score19]],Form_Responses[[#This Row],[Score20]],Form_Responses[[#This Row],[Score21]],Form_Responses[[#This Row],[Score22]],Form_Responses[[#This Row],[Score23]],Form_Responses[[#This Row],[Score24]],Form_Responses[[#This Row],[Score25]],Form_Responses[[#This Row],[Score26]])</f>
        <v>20</v>
      </c>
      <c r="BP7" s="4" t="str">
        <f>IF(Form_Responses[[#This Row],[Anxiety Score2]]&lt;=13,"Low stress",IF(Form_Responses[[#This Row],[Anxiety Score2]]&lt;=26,"Moderate stress","High stress"))</f>
        <v xml:space="preserve">Moderate stress</v>
      </c>
      <c r="BQ7" s="3" t="s">
        <v>91</v>
      </c>
      <c r="BR7" s="3" t="s">
        <v>106</v>
      </c>
      <c r="BS7" s="3" t="s">
        <v>136</v>
      </c>
      <c r="BT7" s="3" t="s">
        <v>137</v>
      </c>
      <c r="BU7" s="3" t="s">
        <v>76</v>
      </c>
      <c r="BV7" s="3" t="s">
        <v>138</v>
      </c>
      <c r="BW7" s="3" t="s">
        <v>139</v>
      </c>
      <c r="BX7" s="3" t="s">
        <v>140</v>
      </c>
    </row>
    <row r="8" ht="22.5" customHeight="1">
      <c r="A8" s="2">
        <v>46192.017311261574</v>
      </c>
      <c r="B8" s="3" t="s">
        <v>76</v>
      </c>
      <c r="C8" s="3" t="s">
        <v>77</v>
      </c>
      <c r="D8" s="3" t="s">
        <v>112</v>
      </c>
      <c r="E8" s="3" t="s">
        <v>79</v>
      </c>
      <c r="F8" s="3" t="s">
        <v>141</v>
      </c>
      <c r="G8" s="3" t="s">
        <v>131</v>
      </c>
      <c r="H8" s="3" t="s">
        <v>101</v>
      </c>
      <c r="I8" s="3" t="s">
        <v>83</v>
      </c>
      <c r="J8" s="3" t="s">
        <v>84</v>
      </c>
      <c r="K8" s="3" t="s">
        <v>142</v>
      </c>
      <c r="L8" s="4">
        <f>IF(K8="Not at all",0,IF(K8="Several days",1,IF(K8="More than half the days",2,3)))</f>
        <v>3</v>
      </c>
      <c r="M8" s="3" t="s">
        <v>86</v>
      </c>
      <c r="N8" s="4">
        <f>IF(M8="Not at all",0,IF(M8="Several days",1,IF(M8="More than half the days",2,3)))</f>
        <v>1</v>
      </c>
      <c r="O8" s="3" t="s">
        <v>86</v>
      </c>
      <c r="P8" s="5">
        <f>IF(O8="Not at all",0,IF(O8="Several days",1,IF(O8="More than half the days",2,3)))</f>
        <v>1</v>
      </c>
      <c r="Q8" s="3" t="s">
        <v>86</v>
      </c>
      <c r="R8" s="4">
        <f>IF(Q8="Not at all",0,IF(Q8="Several days",1,IF(Q8="More than half the days",2,3)))</f>
        <v>1</v>
      </c>
      <c r="S8" s="3" t="s">
        <v>86</v>
      </c>
      <c r="T8" s="4">
        <f>IF(S8="Not at all",0,IF(S8="Several days",1,IF(S8="More than half the days",2,3)))</f>
        <v>1</v>
      </c>
      <c r="U8" s="3" t="s">
        <v>104</v>
      </c>
      <c r="V8" s="4">
        <f>IF(U8="Not at all",0,IF(U8="Several days",1,IF(U8="More than half the days",2,3)))</f>
        <v>3</v>
      </c>
      <c r="W8" s="3" t="s">
        <v>86</v>
      </c>
      <c r="X8" s="4">
        <f>IF(W8="Not at all",0,IF(W8="Several days",1,IF(W8="More than half the days",2,3)))</f>
        <v>1</v>
      </c>
      <c r="Y8" s="3" t="s">
        <v>85</v>
      </c>
      <c r="Z8" s="4">
        <f>IF(Y8="Not at all",0,IF(Y8="Several days",1,IF(Y8="More than half the days",2,3)))</f>
        <v>0</v>
      </c>
      <c r="AA8" s="3" t="s">
        <v>85</v>
      </c>
      <c r="AB8" s="4">
        <f>IF(AA8="Not at all",0,IF(AA8="Several days",1,IF(AA8="More than half the days",2,3)))</f>
        <v>0</v>
      </c>
      <c r="AC8" s="4">
        <f>SUM(Form_Responses[[#This Row],[Score]],Form_Responses[[#This Row],[Score2]],Form_Responses[[#This Row],[Score3]],Form_Responses[[#This Row],[Score4]],Form_Responses[[#This Row],[Score5]],Form_Responses[[#This Row],[Score6]],Form_Responses[[#This Row],[Score7]],Form_Responses[[#This Row],[Score8]],Form_Responses[[#This Row],[Score9]])</f>
        <v>11</v>
      </c>
      <c r="AD8" s="4" t="str">
        <f>IF(Form_Responses[[#This Row],[Depression Score ]]&lt;=4,"Minimal symptoms",IF(Form_Responses[[#This Row],[Depression Score ]]&lt;=9,"Mild Depression",IF(Form_Responses[[#This Row],[Depression Score ]]&lt;=14,"Moderate depression",IF(Form_Responses[[#This Row],[Depression Score ]]&lt;=19,"Moderately severe depression","Severe depression"))))</f>
        <v xml:space="preserve">Moderate depression</v>
      </c>
      <c r="AE8" s="3" t="s">
        <v>115</v>
      </c>
      <c r="AF8" s="4">
        <f>IF(AE8="Not at all",0,IF(AE8="Several days",1,IF(AE8="More than half the days",2,3)))</f>
        <v>3</v>
      </c>
      <c r="AG8" s="3" t="s">
        <v>104</v>
      </c>
      <c r="AH8" s="4">
        <f>IF(AG8="Not at all",0,IF(AG8="Several days",1,IF(AG8="More than half the days",2,3)))</f>
        <v>3</v>
      </c>
      <c r="AI8" s="3" t="s">
        <v>104</v>
      </c>
      <c r="AJ8" s="4">
        <f>IF(AI8="Not at all",0,IF(AI8="Several days",1,IF(AI8="More than half the days",2,3)))</f>
        <v>3</v>
      </c>
      <c r="AK8" s="3" t="s">
        <v>86</v>
      </c>
      <c r="AL8" s="4">
        <f>IF(AK8="Not at all",0,IF(AK8="Several days",1,IF(AK8="More than half the days",2,3)))</f>
        <v>1</v>
      </c>
      <c r="AM8" s="3" t="s">
        <v>86</v>
      </c>
      <c r="AN8" s="4">
        <f>IF(AM8="Not at all",0,IF(AM8="Several days",1,IF(AM8="More than half the days",2,3)))</f>
        <v>1</v>
      </c>
      <c r="AO8" s="3" t="s">
        <v>86</v>
      </c>
      <c r="AP8" s="4">
        <f>IF(AO8="Not at all",0,IF(AO8="Several days",1,IF(AO8="More than half the days",2,3)))</f>
        <v>1</v>
      </c>
      <c r="AQ8" s="3" t="s">
        <v>85</v>
      </c>
      <c r="AR8" s="4">
        <f>IF(AQ8="Not at all",0,IF(AQ8="Several days",1,IF(AQ8="More than half the days",2,3)))</f>
        <v>0</v>
      </c>
      <c r="AS8" s="4">
        <f>SUM(Form_Responses[[#This Row],[Score16]],Form_Responses[[#This Row],[Score10]],Form_Responses[[#This Row],[Score11]],Form_Responses[[#This Row],[Score12]],Form_Responses[[#This Row],[Score13]],Form_Responses[[#This Row],[Score14]],Form_Responses[[#This Row],[Score15]])</f>
        <v>12</v>
      </c>
      <c r="AT8" s="4" t="str">
        <f>IF(Form_Responses[[#This Row],[Anxiety Score]]&lt;=4,"Minimal anxiety",IF(Form_Responses[[#This Row],[Anxiety Score]]&lt;=9,"Mild anxiety",IF(Form_Responses[[#This Row],[Anxiety Score]]&lt;=14,"Moderate anxiety","Severe anxiety")))</f>
        <v xml:space="preserve">Moderate anxiety</v>
      </c>
      <c r="AU8" s="3" t="s">
        <v>105</v>
      </c>
      <c r="AV8" s="4">
        <f>IF(Form_Responses[[#This Row],[1. In the last month, how often have you been upset because of unexpected situations related to academics, finances, or personal life?]]="Never",0,IF(Form_Responses[[#This Row],[1. In the last month, how often have you been upset because of unexpected situations related to academics, finances, or personal life?]]="Almost never",1,IF(Form_Responses[[#This Row],[1. In the last month, how often have you been upset because of unexpected situations related to academics, finances, or personal life?]]="Sometimes",2,IF(Form_Responses[[#This Row],[1. In the last month, how often have you been upset because of unexpected situations related to academics, finances, or personal life?]]="Fairly often",3,4))))</f>
        <v>4</v>
      </c>
      <c r="AW8" s="3" t="s">
        <v>88</v>
      </c>
      <c r="AX8" s="5">
        <f>IF(Form_Responses[[#This Row],[2. In the last month, how often have you felt unable to control important things in your academic or personal life?]]="Never",0,IF(Form_Responses[[#This Row],[2. In the last month, how often have you felt unable to control important things in your academic or personal life?]]="Almost never",1,IF(Form_Responses[[#This Row],[2. In the last month, how often have you felt unable to control important things in your academic or personal life?]]="Sometimes",2,IF(Form_Responses[[#This Row],[2. In the last month, how often have you felt unable to control important things in your academic or personal life?]]="Fairly often",3,4))))</f>
        <v>3</v>
      </c>
      <c r="AY8" s="3" t="s">
        <v>105</v>
      </c>
      <c r="AZ8" s="4">
        <f>IF(Form_Responses[[#This Row],[3. In the last month, how often have you felt nervous or stressed because of university responsibilities or personal challenges?]]="Never",0,IF(Form_Responses[[#This Row],[3. In the last month, how often have you felt nervous or stressed because of university responsibilities or personal challenges?]]="Almost never",1,IF(Form_Responses[[#This Row],[3. In the last month, how often have you felt nervous or stressed because of university responsibilities or personal challenges?]]="Sometimes",2,IF(Form_Responses[[#This Row],[3. In the last month, how often have you felt nervous or stressed because of university responsibilities or personal challenges?]]="Fairly often",3,4))))</f>
        <v>4</v>
      </c>
      <c r="BA8" s="3" t="s">
        <v>89</v>
      </c>
      <c r="BB8" s="4">
        <f>IF(Form_Responses[[#This Row],[4. In the last month, how often have you felt confident about your ability to handle academic or personal problems?]]="Never",4,IF(Form_Responses[[#This Row],[4. In the last month, how often have you felt confident about your ability to handle academic or personal problems?]]="Almost never",3,IF(Form_Responses[[#This Row],[4. In the last month, how often have you felt confident about your ability to handle academic or personal problems?]]="Sometimes",2,IF(Form_Responses[[#This Row],[4. In the last month, how often have you felt confident about your ability to handle academic or personal problems?]]="Fairly often",1,0))))</f>
        <v>2</v>
      </c>
      <c r="BC8" s="3" t="s">
        <v>90</v>
      </c>
      <c r="BD8" s="4">
        <f>IF(Form_Responses[[#This Row],[5. In the last month, how often have you felt that things were going well in your studies or personal life?]]="Never",4,IF(Form_Responses[[#This Row],[5. In the last month, how often have you felt that things were going well in your studies or personal life?]]="Almost never",3,IF(Form_Responses[[#This Row],[5. In the last month, how often have you felt that things were going well in your studies or personal life?]]="Sometimes",2,IF(Form_Responses[[#This Row],[5. In the last month, how often have you felt that things were going well in your studies or personal life?]]="Fairly often",1,0))))</f>
        <v>3</v>
      </c>
      <c r="BE8" s="3" t="s">
        <v>90</v>
      </c>
      <c r="BF8" s="4">
        <f>IF(Form_Responses[[#This Row],[6. In the last month, how often have you felt unable to cope with coursework, deadlines, or daily responsibilities?]]="Never",0,IF(Form_Responses[[#This Row],[6. In the last month, how often have you felt unable to cope with coursework, deadlines, or daily responsibilities?]]="Almost never",1,IF(Form_Responses[[#This Row],[6. In the last month, how often have you felt unable to cope with coursework, deadlines, or daily responsibilities?]]="Sometimes",2,IF(Form_Responses[[#This Row],[6. In the last month, how often have you felt unable to cope with coursework, deadlines, or daily responsibilities?]]="Fairly often",3,4))))</f>
        <v>1</v>
      </c>
      <c r="BG8" s="3" t="s">
        <v>90</v>
      </c>
      <c r="BH8" s="4">
        <f>IF(Form_Responses[[#This Row],[7. In the last month, how often have you been able to control irritations or frustrations in your life?]]="Never",4,IF(Form_Responses[[#This Row],[7. In the last month, how often have you been able to control irritations or frustrations in your life?]]="Almost never",3,IF(Form_Responses[[#This Row],[7. In the last month, how often have you been able to control irritations or frustrations in your life?]]="Sometimes",2,IF(Form_Responses[[#This Row],[7. In the last month, how often have you been able to control irritations or frustrations in your life?]]="Fairly often",1,0))))</f>
        <v>3</v>
      </c>
      <c r="BI8" s="3" t="s">
        <v>124</v>
      </c>
      <c r="BJ8" s="4">
        <f>IF(Form_Responses[[#This Row],[8. In the last month, how often have you felt that you were managing your academic and personal responsibilities well?]]="Never",4,IF(Form_Responses[[#This Row],[8. In the last month, how often have you felt that you were managing your academic and personal responsibilities well?]]="Almost never",3,IF(Form_Responses[[#This Row],[8. In the last month, how often have you felt that you were managing your academic and personal responsibilities well?]]="Sometimes",2,IF(Form_Responses[[#This Row],[8. In the last month, how often have you felt that you were managing your academic and personal responsibilities well?]]="Fairly often",1,0))))</f>
        <v>4</v>
      </c>
      <c r="BK8" s="3" t="s">
        <v>89</v>
      </c>
      <c r="BL8" s="5">
        <f>IF(Form_Responses[[#This Row],[9. In the last month, how often have you been angered or frustrated by situations outside your control, such as finances, academics, or relationships?]]="Never",0,IF(Form_Responses[[#This Row],[9. In the last month, how often have you been angered or frustrated by situations outside your control, such as finances, academics, or relationships?]]="Almost never",1,IF(Form_Responses[[#This Row],[9. In the last month, how often have you been angered or frustrated by situations outside your control, such as finances, academics, or relationships?]]="Sometimes",2,IF(Form_Responses[[#This Row],[9. In the last month, how often have you been angered or frustrated by situations outside your control, such as finances, academics, or relationships?]]="Fairly often",3,4))))</f>
        <v>2</v>
      </c>
      <c r="BM8" s="3" t="s">
        <v>105</v>
      </c>
      <c r="BN8" s="4">
        <f>IF(Form_Responses[[#This Row],[10. In the last month, how often have you felt that difficulties were piling up so much that you could not overcome them?]]="Never",0,IF(Form_Responses[[#This Row],[10. In the last month, how often have you felt that difficulties were piling up so much that you could not overcome them?]]="Almost never",1,IF(Form_Responses[[#This Row],[10. In the last month, how often have you felt that difficulties were piling up so much that you could not overcome them?]]="Sometimes",2,IF(Form_Responses[[#This Row],[10. In the last month, how often have you felt that difficulties were piling up so much that you could not overcome them?]]="Fairly often",3,4))))</f>
        <v>4</v>
      </c>
      <c r="BO8" s="4">
        <f>SUM(Form_Responses[[#This Row],[Score17]],Form_Responses[[#This Row],[Score18]],Form_Responses[[#This Row],[Score19]],Form_Responses[[#This Row],[Score20]],Form_Responses[[#This Row],[Score21]],Form_Responses[[#This Row],[Score22]],Form_Responses[[#This Row],[Score23]],Form_Responses[[#This Row],[Score24]],Form_Responses[[#This Row],[Score25]],Form_Responses[[#This Row],[Score26]])</f>
        <v>30</v>
      </c>
      <c r="BP8" s="4" t="str">
        <f>IF(Form_Responses[[#This Row],[Anxiety Score2]]&lt;=13,"Low stress",IF(Form_Responses[[#This Row],[Anxiety Score2]]&lt;=26,"Moderate stress","High stress"))</f>
        <v xml:space="preserve">High stress</v>
      </c>
      <c r="BQ8" s="3" t="s">
        <v>91</v>
      </c>
      <c r="BR8" s="3" t="s">
        <v>76</v>
      </c>
      <c r="BS8" s="3" t="s">
        <v>143</v>
      </c>
      <c r="BT8" s="3" t="s">
        <v>144</v>
      </c>
      <c r="BU8" s="3" t="s">
        <v>76</v>
      </c>
      <c r="BV8" s="3" t="s">
        <v>145</v>
      </c>
      <c r="BW8" s="3" t="s">
        <v>146</v>
      </c>
      <c r="BX8" s="3" t="s">
        <v>147</v>
      </c>
    </row>
    <row r="9" ht="22.5" customHeight="1">
      <c r="A9" s="2">
        <v>46192.020173067125</v>
      </c>
      <c r="B9" s="3" t="s">
        <v>76</v>
      </c>
      <c r="C9" s="3" t="s">
        <v>77</v>
      </c>
      <c r="D9" s="3" t="s">
        <v>112</v>
      </c>
      <c r="E9" s="3" t="s">
        <v>79</v>
      </c>
      <c r="F9" s="3" t="s">
        <v>148</v>
      </c>
      <c r="G9" s="3" t="s">
        <v>131</v>
      </c>
      <c r="H9" s="3" t="s">
        <v>82</v>
      </c>
      <c r="I9" s="3" t="s">
        <v>83</v>
      </c>
      <c r="J9" s="3" t="s">
        <v>84</v>
      </c>
      <c r="K9" s="3" t="s">
        <v>142</v>
      </c>
      <c r="L9" s="4">
        <f>IF(K9="Not at all",0,IF(K9="Several days",1,IF(K9="More than half the days",2,3)))</f>
        <v>3</v>
      </c>
      <c r="M9" s="3" t="s">
        <v>86</v>
      </c>
      <c r="N9" s="4">
        <f>IF(M9="Not at all",0,IF(M9="Several days",1,IF(M9="More than half the days",2,3)))</f>
        <v>1</v>
      </c>
      <c r="O9" s="3" t="s">
        <v>86</v>
      </c>
      <c r="P9" s="5">
        <f>IF(O9="Not at all",0,IF(O9="Several days",1,IF(O9="More than half the days",2,3)))</f>
        <v>1</v>
      </c>
      <c r="Q9" s="3" t="s">
        <v>86</v>
      </c>
      <c r="R9" s="4">
        <f>IF(Q9="Not at all",0,IF(Q9="Several days",1,IF(Q9="More than half the days",2,3)))</f>
        <v>1</v>
      </c>
      <c r="S9" s="3" t="s">
        <v>85</v>
      </c>
      <c r="T9" s="4">
        <f>IF(S9="Not at all",0,IF(S9="Several days",1,IF(S9="More than half the days",2,3)))</f>
        <v>0</v>
      </c>
      <c r="U9" s="3" t="s">
        <v>86</v>
      </c>
      <c r="V9" s="4">
        <f>IF(U9="Not at all",0,IF(U9="Several days",1,IF(U9="More than half the days",2,3)))</f>
        <v>1</v>
      </c>
      <c r="W9" s="3" t="s">
        <v>86</v>
      </c>
      <c r="X9" s="4">
        <f>IF(W9="Not at all",0,IF(W9="Several days",1,IF(W9="More than half the days",2,3)))</f>
        <v>1</v>
      </c>
      <c r="Y9" s="3" t="s">
        <v>86</v>
      </c>
      <c r="Z9" s="4">
        <f>IF(Y9="Not at all",0,IF(Y9="Several days",1,IF(Y9="More than half the days",2,3)))</f>
        <v>1</v>
      </c>
      <c r="AA9" s="3" t="s">
        <v>86</v>
      </c>
      <c r="AB9" s="4">
        <f>IF(AA9="Not at all",0,IF(AA9="Several days",1,IF(AA9="More than half the days",2,3)))</f>
        <v>1</v>
      </c>
      <c r="AC9" s="4">
        <f>SUM(Form_Responses[[#This Row],[Score]],Form_Responses[[#This Row],[Score2]],Form_Responses[[#This Row],[Score3]],Form_Responses[[#This Row],[Score4]],Form_Responses[[#This Row],[Score5]],Form_Responses[[#This Row],[Score6]],Form_Responses[[#This Row],[Score7]],Form_Responses[[#This Row],[Score8]],Form_Responses[[#This Row],[Score9]])</f>
        <v>10</v>
      </c>
      <c r="AD9" s="4" t="str">
        <f>IF(Form_Responses[[#This Row],[Depression Score ]]&lt;=4,"Minimal symptoms",IF(Form_Responses[[#This Row],[Depression Score ]]&lt;=9,"Mild Depression",IF(Form_Responses[[#This Row],[Depression Score ]]&lt;=14,"Moderate depression",IF(Form_Responses[[#This Row],[Depression Score ]]&lt;=19,"Moderately severe depression","Severe depression"))))</f>
        <v xml:space="preserve">Moderate depression</v>
      </c>
      <c r="AE9" s="3" t="s">
        <v>86</v>
      </c>
      <c r="AF9" s="4">
        <f>IF(AE9="Not at all",0,IF(AE9="Several days",1,IF(AE9="More than half the days",2,3)))</f>
        <v>1</v>
      </c>
      <c r="AG9" s="3" t="s">
        <v>86</v>
      </c>
      <c r="AH9" s="4">
        <f>IF(AG9="Not at all",0,IF(AG9="Several days",1,IF(AG9="More than half the days",2,3)))</f>
        <v>1</v>
      </c>
      <c r="AI9" s="3" t="s">
        <v>86</v>
      </c>
      <c r="AJ9" s="4">
        <f>IF(AI9="Not at all",0,IF(AI9="Several days",1,IF(AI9="More than half the days",2,3)))</f>
        <v>1</v>
      </c>
      <c r="AK9" s="3" t="s">
        <v>104</v>
      </c>
      <c r="AL9" s="4">
        <f>IF(AK9="Not at all",0,IF(AK9="Several days",1,IF(AK9="More than half the days",2,3)))</f>
        <v>3</v>
      </c>
      <c r="AM9" s="3" t="s">
        <v>104</v>
      </c>
      <c r="AN9" s="4">
        <f>IF(AM9="Not at all",0,IF(AM9="Several days",1,IF(AM9="More than half the days",2,3)))</f>
        <v>3</v>
      </c>
      <c r="AO9" s="3" t="s">
        <v>86</v>
      </c>
      <c r="AP9" s="4">
        <f>IF(AO9="Not at all",0,IF(AO9="Several days",1,IF(AO9="More than half the days",2,3)))</f>
        <v>1</v>
      </c>
      <c r="AQ9" s="3" t="s">
        <v>86</v>
      </c>
      <c r="AR9" s="4">
        <f>IF(AQ9="Not at all",0,IF(AQ9="Several days",1,IF(AQ9="More than half the days",2,3)))</f>
        <v>1</v>
      </c>
      <c r="AS9" s="4">
        <f>SUM(Form_Responses[[#This Row],[Score16]],Form_Responses[[#This Row],[Score10]],Form_Responses[[#This Row],[Score11]],Form_Responses[[#This Row],[Score12]],Form_Responses[[#This Row],[Score13]],Form_Responses[[#This Row],[Score14]],Form_Responses[[#This Row],[Score15]])</f>
        <v>11</v>
      </c>
      <c r="AT9" s="4" t="str">
        <f>IF(Form_Responses[[#This Row],[Anxiety Score]]&lt;=4,"Minimal anxiety",IF(Form_Responses[[#This Row],[Anxiety Score]]&lt;=9,"Mild anxiety",IF(Form_Responses[[#This Row],[Anxiety Score]]&lt;=14,"Moderate anxiety","Severe anxiety")))</f>
        <v xml:space="preserve">Moderate anxiety</v>
      </c>
      <c r="AU9" s="3" t="s">
        <v>105</v>
      </c>
      <c r="AV9" s="4">
        <f>IF(Form_Responses[[#This Row],[1. In the last month, how often have you been upset because of unexpected situations related to academics, finances, or personal life?]]="Never",0,IF(Form_Responses[[#This Row],[1. In the last month, how often have you been upset because of unexpected situations related to academics, finances, or personal life?]]="Almost never",1,IF(Form_Responses[[#This Row],[1. In the last month, how often have you been upset because of unexpected situations related to academics, finances, or personal life?]]="Sometimes",2,IF(Form_Responses[[#This Row],[1. In the last month, how often have you been upset because of unexpected situations related to academics, finances, or personal life?]]="Fairly often",3,4))))</f>
        <v>4</v>
      </c>
      <c r="AW9" s="3" t="s">
        <v>105</v>
      </c>
      <c r="AX9" s="5">
        <f>IF(Form_Responses[[#This Row],[2. In the last month, how often have you felt unable to control important things in your academic or personal life?]]="Never",0,IF(Form_Responses[[#This Row],[2. In the last month, how often have you felt unable to control important things in your academic or personal life?]]="Almost never",1,IF(Form_Responses[[#This Row],[2. In the last month, how often have you felt unable to control important things in your academic or personal life?]]="Sometimes",2,IF(Form_Responses[[#This Row],[2. In the last month, how often have you felt unable to control important things in your academic or personal life?]]="Fairly often",3,4))))</f>
        <v>4</v>
      </c>
      <c r="AY9" s="3" t="s">
        <v>105</v>
      </c>
      <c r="AZ9" s="4">
        <f>IF(Form_Responses[[#This Row],[3. In the last month, how often have you felt nervous or stressed because of university responsibilities or personal challenges?]]="Never",0,IF(Form_Responses[[#This Row],[3. In the last month, how often have you felt nervous or stressed because of university responsibilities or personal challenges?]]="Almost never",1,IF(Form_Responses[[#This Row],[3. In the last month, how often have you felt nervous or stressed because of university responsibilities or personal challenges?]]="Sometimes",2,IF(Form_Responses[[#This Row],[3. In the last month, how often have you felt nervous or stressed because of university responsibilities or personal challenges?]]="Fairly often",3,4))))</f>
        <v>4</v>
      </c>
      <c r="BA9" s="3" t="s">
        <v>105</v>
      </c>
      <c r="BB9" s="4">
        <f>IF(Form_Responses[[#This Row],[4. In the last month, how often have you felt confident about your ability to handle academic or personal problems?]]="Never",4,IF(Form_Responses[[#This Row],[4. In the last month, how often have you felt confident about your ability to handle academic or personal problems?]]="Almost never",3,IF(Form_Responses[[#This Row],[4. In the last month, how often have you felt confident about your ability to handle academic or personal problems?]]="Sometimes",2,IF(Form_Responses[[#This Row],[4. In the last month, how often have you felt confident about your ability to handle academic or personal problems?]]="Fairly often",1,0))))</f>
        <v>0</v>
      </c>
      <c r="BC9" s="3" t="s">
        <v>105</v>
      </c>
      <c r="BD9" s="4">
        <f>IF(Form_Responses[[#This Row],[5. In the last month, how often have you felt that things were going well in your studies or personal life?]]="Never",4,IF(Form_Responses[[#This Row],[5. In the last month, how often have you felt that things were going well in your studies or personal life?]]="Almost never",3,IF(Form_Responses[[#This Row],[5. In the last month, how often have you felt that things were going well in your studies or personal life?]]="Sometimes",2,IF(Form_Responses[[#This Row],[5. In the last month, how often have you felt that things were going well in your studies or personal life?]]="Fairly often",1,0))))</f>
        <v>0</v>
      </c>
      <c r="BE9" s="3" t="s">
        <v>89</v>
      </c>
      <c r="BF9" s="4">
        <f>IF(Form_Responses[[#This Row],[6. In the last month, how often have you felt unable to cope with coursework, deadlines, or daily responsibilities?]]="Never",0,IF(Form_Responses[[#This Row],[6. In the last month, how often have you felt unable to cope with coursework, deadlines, or daily responsibilities?]]="Almost never",1,IF(Form_Responses[[#This Row],[6. In the last month, how often have you felt unable to cope with coursework, deadlines, or daily responsibilities?]]="Sometimes",2,IF(Form_Responses[[#This Row],[6. In the last month, how often have you felt unable to cope with coursework, deadlines, or daily responsibilities?]]="Fairly often",3,4))))</f>
        <v>2</v>
      </c>
      <c r="BG9" s="3" t="s">
        <v>88</v>
      </c>
      <c r="BH9" s="4">
        <f>IF(Form_Responses[[#This Row],[7. In the last month, how often have you been able to control irritations or frustrations in your life?]]="Never",4,IF(Form_Responses[[#This Row],[7. In the last month, how often have you been able to control irritations or frustrations in your life?]]="Almost never",3,IF(Form_Responses[[#This Row],[7. In the last month, how often have you been able to control irritations or frustrations in your life?]]="Sometimes",2,IF(Form_Responses[[#This Row],[7. In the last month, how often have you been able to control irritations or frustrations in your life?]]="Fairly often",1,0))))</f>
        <v>1</v>
      </c>
      <c r="BI9" s="3" t="s">
        <v>88</v>
      </c>
      <c r="BJ9" s="4">
        <f>IF(Form_Responses[[#This Row],[8. In the last month, how often have you felt that you were managing your academic and personal responsibilities well?]]="Never",4,IF(Form_Responses[[#This Row],[8. In the last month, how often have you felt that you were managing your academic and personal responsibilities well?]]="Almost never",3,IF(Form_Responses[[#This Row],[8. In the last month, how often have you felt that you were managing your academic and personal responsibilities well?]]="Sometimes",2,IF(Form_Responses[[#This Row],[8. In the last month, how often have you felt that you were managing your academic and personal responsibilities well?]]="Fairly often",1,0))))</f>
        <v>1</v>
      </c>
      <c r="BK9" s="3" t="s">
        <v>88</v>
      </c>
      <c r="BL9" s="5">
        <f>IF(Form_Responses[[#This Row],[9. In the last month, how often have you been angered or frustrated by situations outside your control, such as finances, academics, or relationships?]]="Never",0,IF(Form_Responses[[#This Row],[9. In the last month, how often have you been angered or frustrated by situations outside your control, such as finances, academics, or relationships?]]="Almost never",1,IF(Form_Responses[[#This Row],[9. In the last month, how often have you been angered or frustrated by situations outside your control, such as finances, academics, or relationships?]]="Sometimes",2,IF(Form_Responses[[#This Row],[9. In the last month, how often have you been angered or frustrated by situations outside your control, such as finances, academics, or relationships?]]="Fairly often",3,4))))</f>
        <v>3</v>
      </c>
      <c r="BM9" s="3" t="s">
        <v>88</v>
      </c>
      <c r="BN9" s="4">
        <f>IF(Form_Responses[[#This Row],[10. In the last month, how often have you felt that difficulties were piling up so much that you could not overcome them?]]="Never",0,IF(Form_Responses[[#This Row],[10. In the last month, how often have you felt that difficulties were piling up so much that you could not overcome them?]]="Almost never",1,IF(Form_Responses[[#This Row],[10. In the last month, how often have you felt that difficulties were piling up so much that you could not overcome them?]]="Sometimes",2,IF(Form_Responses[[#This Row],[10. In the last month, how often have you felt that difficulties were piling up so much that you could not overcome them?]]="Fairly often",3,4))))</f>
        <v>3</v>
      </c>
      <c r="BO9" s="4">
        <f>SUM(Form_Responses[[#This Row],[Score17]],Form_Responses[[#This Row],[Score18]],Form_Responses[[#This Row],[Score19]],Form_Responses[[#This Row],[Score20]],Form_Responses[[#This Row],[Score21]],Form_Responses[[#This Row],[Score22]],Form_Responses[[#This Row],[Score23]],Form_Responses[[#This Row],[Score24]],Form_Responses[[#This Row],[Score25]],Form_Responses[[#This Row],[Score26]])</f>
        <v>22</v>
      </c>
      <c r="BP9" s="4" t="str">
        <f>IF(Form_Responses[[#This Row],[Anxiety Score2]]&lt;=13,"Low stress",IF(Form_Responses[[#This Row],[Anxiety Score2]]&lt;=26,"Moderate stress","High stress"))</f>
        <v xml:space="preserve">Moderate stress</v>
      </c>
      <c r="BQ9" s="3" t="s">
        <v>91</v>
      </c>
      <c r="BR9" s="3" t="s">
        <v>76</v>
      </c>
      <c r="BS9" s="3" t="s">
        <v>149</v>
      </c>
      <c r="BT9" s="3" t="s">
        <v>150</v>
      </c>
      <c r="BU9" s="3" t="s">
        <v>76</v>
      </c>
      <c r="BV9" s="3" t="s">
        <v>151</v>
      </c>
      <c r="BW9" s="3" t="s">
        <v>152</v>
      </c>
      <c r="BX9" s="3" t="s">
        <v>153</v>
      </c>
    </row>
    <row r="10" ht="22.5" customHeight="1">
      <c r="A10" s="2">
        <v>46192.062954305555</v>
      </c>
      <c r="B10" s="3" t="s">
        <v>76</v>
      </c>
      <c r="C10" s="3" t="s">
        <v>154</v>
      </c>
      <c r="D10" s="3" t="s">
        <v>78</v>
      </c>
      <c r="E10" s="3" t="s">
        <v>79</v>
      </c>
      <c r="F10" s="3" t="s">
        <v>130</v>
      </c>
      <c r="G10" s="3" t="s">
        <v>131</v>
      </c>
      <c r="H10" s="3" t="s">
        <v>82</v>
      </c>
      <c r="I10" s="3" t="s">
        <v>83</v>
      </c>
      <c r="J10" s="3" t="s">
        <v>84</v>
      </c>
      <c r="K10" s="3" t="s">
        <v>86</v>
      </c>
      <c r="L10" s="4">
        <f>IF(K10="Not at all",0,IF(K10="Several days",1,IF(K10="More than half the days",2,3)))</f>
        <v>1</v>
      </c>
      <c r="M10" s="3" t="s">
        <v>87</v>
      </c>
      <c r="N10" s="4">
        <f>IF(M10="Not at all",0,IF(M10="Several days",1,IF(M10="More than half the days",2,3)))</f>
        <v>2</v>
      </c>
      <c r="O10" s="3" t="s">
        <v>104</v>
      </c>
      <c r="P10" s="5">
        <f>IF(O10="Not at all",0,IF(O10="Several days",1,IF(O10="More than half the days",2,3)))</f>
        <v>3</v>
      </c>
      <c r="Q10" s="3" t="s">
        <v>85</v>
      </c>
      <c r="R10" s="4">
        <f>IF(Q10="Not at all",0,IF(Q10="Several days",1,IF(Q10="More than half the days",2,3)))</f>
        <v>0</v>
      </c>
      <c r="S10" s="3" t="s">
        <v>104</v>
      </c>
      <c r="T10" s="4">
        <f>IF(S10="Not at all",0,IF(S10="Several days",1,IF(S10="More than half the days",2,3)))</f>
        <v>3</v>
      </c>
      <c r="U10" s="3" t="s">
        <v>104</v>
      </c>
      <c r="V10" s="4">
        <f>IF(U10="Not at all",0,IF(U10="Several days",1,IF(U10="More than half the days",2,3)))</f>
        <v>3</v>
      </c>
      <c r="W10" s="3" t="s">
        <v>104</v>
      </c>
      <c r="X10" s="4">
        <f>IF(W10="Not at all",0,IF(W10="Several days",1,IF(W10="More than half the days",2,3)))</f>
        <v>3</v>
      </c>
      <c r="Y10" s="3" t="s">
        <v>86</v>
      </c>
      <c r="Z10" s="4">
        <f>IF(Y10="Not at all",0,IF(Y10="Several days",1,IF(Y10="More than half the days",2,3)))</f>
        <v>1</v>
      </c>
      <c r="AA10" s="3" t="s">
        <v>86</v>
      </c>
      <c r="AB10" s="4">
        <f>IF(AA10="Not at all",0,IF(AA10="Several days",1,IF(AA10="More than half the days",2,3)))</f>
        <v>1</v>
      </c>
      <c r="AC10" s="4">
        <f>SUM(Form_Responses[[#This Row],[Score]],Form_Responses[[#This Row],[Score2]],Form_Responses[[#This Row],[Score3]],Form_Responses[[#This Row],[Score4]],Form_Responses[[#This Row],[Score5]],Form_Responses[[#This Row],[Score6]],Form_Responses[[#This Row],[Score7]],Form_Responses[[#This Row],[Score8]],Form_Responses[[#This Row],[Score9]])</f>
        <v>17</v>
      </c>
      <c r="AD10" s="4" t="str">
        <f>IF(Form_Responses[[#This Row],[Depression Score ]]&lt;=4,"Minimal symptoms",IF(Form_Responses[[#This Row],[Depression Score ]]&lt;=9,"Mild Depression",IF(Form_Responses[[#This Row],[Depression Score ]]&lt;=14,"Moderate depression",IF(Form_Responses[[#This Row],[Depression Score ]]&lt;=19,"Moderately severe depression","Severe depression"))))</f>
        <v xml:space="preserve">Moderately severe depression</v>
      </c>
      <c r="AE10" s="3" t="s">
        <v>86</v>
      </c>
      <c r="AF10" s="4">
        <f>IF(AE10="Not at all",0,IF(AE10="Several days",1,IF(AE10="More than half the days",2,3)))</f>
        <v>1</v>
      </c>
      <c r="AG10" s="3" t="s">
        <v>104</v>
      </c>
      <c r="AH10" s="4">
        <f>IF(AG10="Not at all",0,IF(AG10="Several days",1,IF(AG10="More than half the days",2,3)))</f>
        <v>3</v>
      </c>
      <c r="AI10" s="3" t="s">
        <v>104</v>
      </c>
      <c r="AJ10" s="4">
        <f>IF(AI10="Not at all",0,IF(AI10="Several days",1,IF(AI10="More than half the days",2,3)))</f>
        <v>3</v>
      </c>
      <c r="AK10" s="3" t="s">
        <v>87</v>
      </c>
      <c r="AL10" s="4">
        <f>IF(AK10="Not at all",0,IF(AK10="Several days",1,IF(AK10="More than half the days",2,3)))</f>
        <v>2</v>
      </c>
      <c r="AM10" s="3" t="s">
        <v>85</v>
      </c>
      <c r="AN10" s="4">
        <f>IF(AM10="Not at all",0,IF(AM10="Several days",1,IF(AM10="More than half the days",2,3)))</f>
        <v>0</v>
      </c>
      <c r="AO10" s="3" t="s">
        <v>86</v>
      </c>
      <c r="AP10" s="4">
        <f>IF(AO10="Not at all",0,IF(AO10="Several days",1,IF(AO10="More than half the days",2,3)))</f>
        <v>1</v>
      </c>
      <c r="AQ10" s="3" t="s">
        <v>86</v>
      </c>
      <c r="AR10" s="4">
        <f>IF(AQ10="Not at all",0,IF(AQ10="Several days",1,IF(AQ10="More than half the days",2,3)))</f>
        <v>1</v>
      </c>
      <c r="AS10" s="4">
        <f>SUM(Form_Responses[[#This Row],[Score16]],Form_Responses[[#This Row],[Score10]],Form_Responses[[#This Row],[Score11]],Form_Responses[[#This Row],[Score12]],Form_Responses[[#This Row],[Score13]],Form_Responses[[#This Row],[Score14]],Form_Responses[[#This Row],[Score15]])</f>
        <v>11</v>
      </c>
      <c r="AT10" s="4" t="str">
        <f>IF(Form_Responses[[#This Row],[Anxiety Score]]&lt;=4,"Minimal anxiety",IF(Form_Responses[[#This Row],[Anxiety Score]]&lt;=9,"Mild anxiety",IF(Form_Responses[[#This Row],[Anxiety Score]]&lt;=14,"Moderate anxiety","Severe anxiety")))</f>
        <v xml:space="preserve">Moderate anxiety</v>
      </c>
      <c r="AU10" s="3" t="s">
        <v>88</v>
      </c>
      <c r="AV10" s="4">
        <f>IF(Form_Responses[[#This Row],[1. In the last month, how often have you been upset because of unexpected situations related to academics, finances, or personal life?]]="Never",0,IF(Form_Responses[[#This Row],[1. In the last month, how often have you been upset because of unexpected situations related to academics, finances, or personal life?]]="Almost never",1,IF(Form_Responses[[#This Row],[1. In the last month, how often have you been upset because of unexpected situations related to academics, finances, or personal life?]]="Sometimes",2,IF(Form_Responses[[#This Row],[1. In the last month, how often have you been upset because of unexpected situations related to academics, finances, or personal life?]]="Fairly often",3,4))))</f>
        <v>3</v>
      </c>
      <c r="AW10" s="3" t="s">
        <v>88</v>
      </c>
      <c r="AX10" s="5">
        <f>IF(Form_Responses[[#This Row],[2. In the last month, how often have you felt unable to control important things in your academic or personal life?]]="Never",0,IF(Form_Responses[[#This Row],[2. In the last month, how often have you felt unable to control important things in your academic or personal life?]]="Almost never",1,IF(Form_Responses[[#This Row],[2. In the last month, how often have you felt unable to control important things in your academic or personal life?]]="Sometimes",2,IF(Form_Responses[[#This Row],[2. In the last month, how often have you felt unable to control important things in your academic or personal life?]]="Fairly often",3,4))))</f>
        <v>3</v>
      </c>
      <c r="AY10" s="3" t="s">
        <v>88</v>
      </c>
      <c r="AZ10" s="4">
        <f>IF(Form_Responses[[#This Row],[3. In the last month, how often have you felt nervous or stressed because of university responsibilities or personal challenges?]]="Never",0,IF(Form_Responses[[#This Row],[3. In the last month, how often have you felt nervous or stressed because of university responsibilities or personal challenges?]]="Almost never",1,IF(Form_Responses[[#This Row],[3. In the last month, how often have you felt nervous or stressed because of university responsibilities or personal challenges?]]="Sometimes",2,IF(Form_Responses[[#This Row],[3. In the last month, how often have you felt nervous or stressed because of university responsibilities or personal challenges?]]="Fairly often",3,4))))</f>
        <v>3</v>
      </c>
      <c r="BA10" s="3" t="s">
        <v>89</v>
      </c>
      <c r="BB10" s="4">
        <f>IF(Form_Responses[[#This Row],[4. In the last month, how often have you felt confident about your ability to handle academic or personal problems?]]="Never",4,IF(Form_Responses[[#This Row],[4. In the last month, how often have you felt confident about your ability to handle academic or personal problems?]]="Almost never",3,IF(Form_Responses[[#This Row],[4. In the last month, how often have you felt confident about your ability to handle academic or personal problems?]]="Sometimes",2,IF(Form_Responses[[#This Row],[4. In the last month, how often have you felt confident about your ability to handle academic or personal problems?]]="Fairly often",1,0))))</f>
        <v>2</v>
      </c>
      <c r="BC10" s="3" t="s">
        <v>89</v>
      </c>
      <c r="BD10" s="4">
        <f>IF(Form_Responses[[#This Row],[5. In the last month, how often have you felt that things were going well in your studies or personal life?]]="Never",4,IF(Form_Responses[[#This Row],[5. In the last month, how often have you felt that things were going well in your studies or personal life?]]="Almost never",3,IF(Form_Responses[[#This Row],[5. In the last month, how often have you felt that things were going well in your studies or personal life?]]="Sometimes",2,IF(Form_Responses[[#This Row],[5. In the last month, how often have you felt that things were going well in your studies or personal life?]]="Fairly often",1,0))))</f>
        <v>2</v>
      </c>
      <c r="BE10" s="3" t="s">
        <v>89</v>
      </c>
      <c r="BF10" s="4">
        <f>IF(Form_Responses[[#This Row],[6. In the last month, how often have you felt unable to cope with coursework, deadlines, or daily responsibilities?]]="Never",0,IF(Form_Responses[[#This Row],[6. In the last month, how often have you felt unable to cope with coursework, deadlines, or daily responsibilities?]]="Almost never",1,IF(Form_Responses[[#This Row],[6. In the last month, how often have you felt unable to cope with coursework, deadlines, or daily responsibilities?]]="Sometimes",2,IF(Form_Responses[[#This Row],[6. In the last month, how often have you felt unable to cope with coursework, deadlines, or daily responsibilities?]]="Fairly often",3,4))))</f>
        <v>2</v>
      </c>
      <c r="BG10" s="3" t="s">
        <v>88</v>
      </c>
      <c r="BH10" s="4">
        <f>IF(Form_Responses[[#This Row],[7. In the last month, how often have you been able to control irritations or frustrations in your life?]]="Never",4,IF(Form_Responses[[#This Row],[7. In the last month, how often have you been able to control irritations or frustrations in your life?]]="Almost never",3,IF(Form_Responses[[#This Row],[7. In the last month, how often have you been able to control irritations or frustrations in your life?]]="Sometimes",2,IF(Form_Responses[[#This Row],[7. In the last month, how often have you been able to control irritations or frustrations in your life?]]="Fairly often",1,0))))</f>
        <v>1</v>
      </c>
      <c r="BI10" s="3" t="s">
        <v>89</v>
      </c>
      <c r="BJ10" s="4">
        <f>IF(Form_Responses[[#This Row],[8. In the last month, how often have you felt that you were managing your academic and personal responsibilities well?]]="Never",4,IF(Form_Responses[[#This Row],[8. In the last month, how often have you felt that you were managing your academic and personal responsibilities well?]]="Almost never",3,IF(Form_Responses[[#This Row],[8. In the last month, how often have you felt that you were managing your academic and personal responsibilities well?]]="Sometimes",2,IF(Form_Responses[[#This Row],[8. In the last month, how often have you felt that you were managing your academic and personal responsibilities well?]]="Fairly often",1,0))))</f>
        <v>2</v>
      </c>
      <c r="BK10" s="3" t="s">
        <v>88</v>
      </c>
      <c r="BL10" s="5">
        <f>IF(Form_Responses[[#This Row],[9. In the last month, how often have you been angered or frustrated by situations outside your control, such as finances, academics, or relationships?]]="Never",0,IF(Form_Responses[[#This Row],[9. In the last month, how often have you been angered or frustrated by situations outside your control, such as finances, academics, or relationships?]]="Almost never",1,IF(Form_Responses[[#This Row],[9. In the last month, how often have you been angered or frustrated by situations outside your control, such as finances, academics, or relationships?]]="Sometimes",2,IF(Form_Responses[[#This Row],[9. In the last month, how often have you been angered or frustrated by situations outside your control, such as finances, academics, or relationships?]]="Fairly often",3,4))))</f>
        <v>3</v>
      </c>
      <c r="BM10" s="3" t="s">
        <v>88</v>
      </c>
      <c r="BN10" s="4">
        <f>IF(Form_Responses[[#This Row],[10. In the last month, how often have you felt that difficulties were piling up so much that you could not overcome them?]]="Never",0,IF(Form_Responses[[#This Row],[10. In the last month, how often have you felt that difficulties were piling up so much that you could not overcome them?]]="Almost never",1,IF(Form_Responses[[#This Row],[10. In the last month, how often have you felt that difficulties were piling up so much that you could not overcome them?]]="Sometimes",2,IF(Form_Responses[[#This Row],[10. In the last month, how often have you felt that difficulties were piling up so much that you could not overcome them?]]="Fairly often",3,4))))</f>
        <v>3</v>
      </c>
      <c r="BO10" s="4">
        <f>SUM(Form_Responses[[#This Row],[Score17]],Form_Responses[[#This Row],[Score18]],Form_Responses[[#This Row],[Score19]],Form_Responses[[#This Row],[Score20]],Form_Responses[[#This Row],[Score21]],Form_Responses[[#This Row],[Score22]],Form_Responses[[#This Row],[Score23]],Form_Responses[[#This Row],[Score24]],Form_Responses[[#This Row],[Score25]],Form_Responses[[#This Row],[Score26]])</f>
        <v>24</v>
      </c>
      <c r="BP10" s="4" t="str">
        <f>IF(Form_Responses[[#This Row],[Anxiety Score2]]&lt;=13,"Low stress",IF(Form_Responses[[#This Row],[Anxiety Score2]]&lt;=26,"Moderate stress","High stress"))</f>
        <v xml:space="preserve">Moderate stress</v>
      </c>
      <c r="BQ10" s="3" t="s">
        <v>91</v>
      </c>
      <c r="BR10" s="3" t="s">
        <v>106</v>
      </c>
      <c r="BS10" s="3" t="s">
        <v>107</v>
      </c>
      <c r="BT10" s="3" t="s">
        <v>155</v>
      </c>
      <c r="BU10" s="3" t="s">
        <v>106</v>
      </c>
      <c r="BV10" s="3" t="s">
        <v>156</v>
      </c>
      <c r="BW10" s="3" t="s">
        <v>157</v>
      </c>
      <c r="BX10" s="3" t="s">
        <v>158</v>
      </c>
    </row>
    <row r="11" ht="22.5" customHeight="1">
      <c r="A11" s="2">
        <v>46192.137589849532</v>
      </c>
      <c r="B11" s="3" t="s">
        <v>76</v>
      </c>
      <c r="C11" s="3" t="s">
        <v>77</v>
      </c>
      <c r="D11" s="3" t="s">
        <v>78</v>
      </c>
      <c r="E11" s="3" t="s">
        <v>79</v>
      </c>
      <c r="F11" s="3" t="s">
        <v>159</v>
      </c>
      <c r="G11" s="3" t="s">
        <v>131</v>
      </c>
      <c r="H11" s="3" t="s">
        <v>82</v>
      </c>
      <c r="I11" s="3" t="s">
        <v>114</v>
      </c>
      <c r="J11" s="3" t="s">
        <v>160</v>
      </c>
      <c r="K11" s="3" t="s">
        <v>86</v>
      </c>
      <c r="L11" s="4">
        <f>IF(K11="Not at all",0,IF(K11="Several days",1,IF(K11="More than half the days",2,3)))</f>
        <v>1</v>
      </c>
      <c r="M11" s="3" t="s">
        <v>86</v>
      </c>
      <c r="N11" s="4">
        <f>IF(M11="Not at all",0,IF(M11="Several days",1,IF(M11="More than half the days",2,3)))</f>
        <v>1</v>
      </c>
      <c r="O11" s="3" t="s">
        <v>85</v>
      </c>
      <c r="P11" s="5">
        <f>IF(O11="Not at all",0,IF(O11="Several days",1,IF(O11="More than half the days",2,3)))</f>
        <v>0</v>
      </c>
      <c r="Q11" s="3" t="s">
        <v>85</v>
      </c>
      <c r="R11" s="4">
        <f>IF(Q11="Not at all",0,IF(Q11="Several days",1,IF(Q11="More than half the days",2,3)))</f>
        <v>0</v>
      </c>
      <c r="S11" s="3" t="s">
        <v>86</v>
      </c>
      <c r="T11" s="4">
        <f>IF(S11="Not at all",0,IF(S11="Several days",1,IF(S11="More than half the days",2,3)))</f>
        <v>1</v>
      </c>
      <c r="U11" s="3" t="s">
        <v>85</v>
      </c>
      <c r="V11" s="4">
        <f>IF(U11="Not at all",0,IF(U11="Several days",1,IF(U11="More than half the days",2,3)))</f>
        <v>0</v>
      </c>
      <c r="W11" s="3" t="s">
        <v>86</v>
      </c>
      <c r="X11" s="4">
        <f>IF(W11="Not at all",0,IF(W11="Several days",1,IF(W11="More than half the days",2,3)))</f>
        <v>1</v>
      </c>
      <c r="Y11" s="3" t="s">
        <v>85</v>
      </c>
      <c r="Z11" s="4">
        <f>IF(Y11="Not at all",0,IF(Y11="Several days",1,IF(Y11="More than half the days",2,3)))</f>
        <v>0</v>
      </c>
      <c r="AA11" s="3" t="s">
        <v>85</v>
      </c>
      <c r="AB11" s="4">
        <f>IF(AA11="Not at all",0,IF(AA11="Several days",1,IF(AA11="More than half the days",2,3)))</f>
        <v>0</v>
      </c>
      <c r="AC11" s="4">
        <f>SUM(Form_Responses[[#This Row],[Score]],Form_Responses[[#This Row],[Score2]],Form_Responses[[#This Row],[Score3]],Form_Responses[[#This Row],[Score4]],Form_Responses[[#This Row],[Score5]],Form_Responses[[#This Row],[Score6]],Form_Responses[[#This Row],[Score7]],Form_Responses[[#This Row],[Score8]],Form_Responses[[#This Row],[Score9]])</f>
        <v>4</v>
      </c>
      <c r="AD11" s="4" t="str">
        <f>IF(Form_Responses[[#This Row],[Depression Score ]]&lt;=4,"Minimal symptoms",IF(Form_Responses[[#This Row],[Depression Score ]]&lt;=9,"Mild Depression",IF(Form_Responses[[#This Row],[Depression Score ]]&lt;=14,"Moderate depression",IF(Form_Responses[[#This Row],[Depression Score ]]&lt;=19,"Moderately severe depression","Severe depression"))))</f>
        <v xml:space="preserve">Minimal symptoms</v>
      </c>
      <c r="AE11" s="3" t="s">
        <v>85</v>
      </c>
      <c r="AF11" s="4">
        <f>IF(AE11="Not at all",0,IF(AE11="Several days",1,IF(AE11="More than half the days",2,3)))</f>
        <v>0</v>
      </c>
      <c r="AG11" s="3" t="s">
        <v>85</v>
      </c>
      <c r="AH11" s="4">
        <f>IF(AG11="Not at all",0,IF(AG11="Several days",1,IF(AG11="More than half the days",2,3)))</f>
        <v>0</v>
      </c>
      <c r="AI11" s="3" t="s">
        <v>86</v>
      </c>
      <c r="AJ11" s="4">
        <f>IF(AI11="Not at all",0,IF(AI11="Several days",1,IF(AI11="More than half the days",2,3)))</f>
        <v>1</v>
      </c>
      <c r="AK11" s="3" t="s">
        <v>85</v>
      </c>
      <c r="AL11" s="4">
        <f>IF(AK11="Not at all",0,IF(AK11="Several days",1,IF(AK11="More than half the days",2,3)))</f>
        <v>0</v>
      </c>
      <c r="AM11" s="3" t="s">
        <v>85</v>
      </c>
      <c r="AN11" s="4">
        <f>IF(AM11="Not at all",0,IF(AM11="Several days",1,IF(AM11="More than half the days",2,3)))</f>
        <v>0</v>
      </c>
      <c r="AO11" s="3" t="s">
        <v>85</v>
      </c>
      <c r="AP11" s="4">
        <f>IF(AO11="Not at all",0,IF(AO11="Several days",1,IF(AO11="More than half the days",2,3)))</f>
        <v>0</v>
      </c>
      <c r="AQ11" s="3" t="s">
        <v>85</v>
      </c>
      <c r="AR11" s="4">
        <f>IF(AQ11="Not at all",0,IF(AQ11="Several days",1,IF(AQ11="More than half the days",2,3)))</f>
        <v>0</v>
      </c>
      <c r="AS11" s="4">
        <f>SUM(Form_Responses[[#This Row],[Score16]],Form_Responses[[#This Row],[Score10]],Form_Responses[[#This Row],[Score11]],Form_Responses[[#This Row],[Score12]],Form_Responses[[#This Row],[Score13]],Form_Responses[[#This Row],[Score14]],Form_Responses[[#This Row],[Score15]])</f>
        <v>1</v>
      </c>
      <c r="AT11" s="4" t="str">
        <f>IF(Form_Responses[[#This Row],[Anxiety Score]]&lt;=4,"Minimal anxiety",IF(Form_Responses[[#This Row],[Anxiety Score]]&lt;=9,"Mild anxiety",IF(Form_Responses[[#This Row],[Anxiety Score]]&lt;=14,"Moderate anxiety","Severe anxiety")))</f>
        <v xml:space="preserve">Minimal anxiety</v>
      </c>
      <c r="AU11" s="3" t="s">
        <v>89</v>
      </c>
      <c r="AV11" s="4">
        <f>IF(Form_Responses[[#This Row],[1. In the last month, how often have you been upset because of unexpected situations related to academics, finances, or personal life?]]="Never",0,IF(Form_Responses[[#This Row],[1. In the last month, how often have you been upset because of unexpected situations related to academics, finances, or personal life?]]="Almost never",1,IF(Form_Responses[[#This Row],[1. In the last month, how often have you been upset because of unexpected situations related to academics, finances, or personal life?]]="Sometimes",2,IF(Form_Responses[[#This Row],[1. In the last month, how often have you been upset because of unexpected situations related to academics, finances, or personal life?]]="Fairly often",3,4))))</f>
        <v>2</v>
      </c>
      <c r="AW11" s="3" t="s">
        <v>89</v>
      </c>
      <c r="AX11" s="5">
        <f>IF(Form_Responses[[#This Row],[2. In the last month, how often have you felt unable to control important things in your academic or personal life?]]="Never",0,IF(Form_Responses[[#This Row],[2. In the last month, how often have you felt unable to control important things in your academic or personal life?]]="Almost never",1,IF(Form_Responses[[#This Row],[2. In the last month, how often have you felt unable to control important things in your academic or personal life?]]="Sometimes",2,IF(Form_Responses[[#This Row],[2. In the last month, how often have you felt unable to control important things in your academic or personal life?]]="Fairly often",3,4))))</f>
        <v>2</v>
      </c>
      <c r="AY11" s="3" t="s">
        <v>89</v>
      </c>
      <c r="AZ11" s="4">
        <f>IF(Form_Responses[[#This Row],[3. In the last month, how often have you felt nervous or stressed because of university responsibilities or personal challenges?]]="Never",0,IF(Form_Responses[[#This Row],[3. In the last month, how often have you felt nervous or stressed because of university responsibilities or personal challenges?]]="Almost never",1,IF(Form_Responses[[#This Row],[3. In the last month, how often have you felt nervous or stressed because of university responsibilities or personal challenges?]]="Sometimes",2,IF(Form_Responses[[#This Row],[3. In the last month, how often have you felt nervous or stressed because of university responsibilities or personal challenges?]]="Fairly often",3,4))))</f>
        <v>2</v>
      </c>
      <c r="BA11" s="3" t="s">
        <v>89</v>
      </c>
      <c r="BB11" s="4">
        <f>IF(Form_Responses[[#This Row],[4. In the last month, how often have you felt confident about your ability to handle academic or personal problems?]]="Never",4,IF(Form_Responses[[#This Row],[4. In the last month, how often have you felt confident about your ability to handle academic or personal problems?]]="Almost never",3,IF(Form_Responses[[#This Row],[4. In the last month, how often have you felt confident about your ability to handle academic or personal problems?]]="Sometimes",2,IF(Form_Responses[[#This Row],[4. In the last month, how often have you felt confident about your ability to handle academic or personal problems?]]="Fairly often",1,0))))</f>
        <v>2</v>
      </c>
      <c r="BC11" s="3" t="s">
        <v>89</v>
      </c>
      <c r="BD11" s="4">
        <f>IF(Form_Responses[[#This Row],[5. In the last month, how often have you felt that things were going well in your studies or personal life?]]="Never",4,IF(Form_Responses[[#This Row],[5. In the last month, how often have you felt that things were going well in your studies or personal life?]]="Almost never",3,IF(Form_Responses[[#This Row],[5. In the last month, how often have you felt that things were going well in your studies or personal life?]]="Sometimes",2,IF(Form_Responses[[#This Row],[5. In the last month, how often have you felt that things were going well in your studies or personal life?]]="Fairly often",1,0))))</f>
        <v>2</v>
      </c>
      <c r="BE11" s="3" t="s">
        <v>124</v>
      </c>
      <c r="BF11" s="4">
        <f>IF(Form_Responses[[#This Row],[6. In the last month, how often have you felt unable to cope with coursework, deadlines, or daily responsibilities?]]="Never",0,IF(Form_Responses[[#This Row],[6. In the last month, how often have you felt unable to cope with coursework, deadlines, or daily responsibilities?]]="Almost never",1,IF(Form_Responses[[#This Row],[6. In the last month, how often have you felt unable to cope with coursework, deadlines, or daily responsibilities?]]="Sometimes",2,IF(Form_Responses[[#This Row],[6. In the last month, how often have you felt unable to cope with coursework, deadlines, or daily responsibilities?]]="Fairly often",3,4))))</f>
        <v>0</v>
      </c>
      <c r="BG11" s="3" t="s">
        <v>90</v>
      </c>
      <c r="BH11" s="4">
        <f>IF(Form_Responses[[#This Row],[7. In the last month, how often have you been able to control irritations or frustrations in your life?]]="Never",4,IF(Form_Responses[[#This Row],[7. In the last month, how often have you been able to control irritations or frustrations in your life?]]="Almost never",3,IF(Form_Responses[[#This Row],[7. In the last month, how often have you been able to control irritations or frustrations in your life?]]="Sometimes",2,IF(Form_Responses[[#This Row],[7. In the last month, how often have you been able to control irritations or frustrations in your life?]]="Fairly often",1,0))))</f>
        <v>3</v>
      </c>
      <c r="BI11" s="3" t="s">
        <v>90</v>
      </c>
      <c r="BJ11" s="4">
        <f>IF(Form_Responses[[#This Row],[8. In the last month, how often have you felt that you were managing your academic and personal responsibilities well?]]="Never",4,IF(Form_Responses[[#This Row],[8. In the last month, how often have you felt that you were managing your academic and personal responsibilities well?]]="Almost never",3,IF(Form_Responses[[#This Row],[8. In the last month, how often have you felt that you were managing your academic and personal responsibilities well?]]="Sometimes",2,IF(Form_Responses[[#This Row],[8. In the last month, how often have you felt that you were managing your academic and personal responsibilities well?]]="Fairly often",1,0))))</f>
        <v>3</v>
      </c>
      <c r="BK11" s="3" t="s">
        <v>89</v>
      </c>
      <c r="BL11" s="5">
        <f>IF(Form_Responses[[#This Row],[9. In the last month, how often have you been angered or frustrated by situations outside your control, such as finances, academics, or relationships?]]="Never",0,IF(Form_Responses[[#This Row],[9. In the last month, how often have you been angered or frustrated by situations outside your control, such as finances, academics, or relationships?]]="Almost never",1,IF(Form_Responses[[#This Row],[9. In the last month, how often have you been angered or frustrated by situations outside your control, such as finances, academics, or relationships?]]="Sometimes",2,IF(Form_Responses[[#This Row],[9. In the last month, how often have you been angered or frustrated by situations outside your control, such as finances, academics, or relationships?]]="Fairly often",3,4))))</f>
        <v>2</v>
      </c>
      <c r="BM11" s="3" t="s">
        <v>105</v>
      </c>
      <c r="BN11" s="4">
        <f>IF(Form_Responses[[#This Row],[10. In the last month, how often have you felt that difficulties were piling up so much that you could not overcome them?]]="Never",0,IF(Form_Responses[[#This Row],[10. In the last month, how often have you felt that difficulties were piling up so much that you could not overcome them?]]="Almost never",1,IF(Form_Responses[[#This Row],[10. In the last month, how often have you felt that difficulties were piling up so much that you could not overcome them?]]="Sometimes",2,IF(Form_Responses[[#This Row],[10. In the last month, how often have you felt that difficulties were piling up so much that you could not overcome them?]]="Fairly often",3,4))))</f>
        <v>4</v>
      </c>
      <c r="BO11" s="4">
        <f>SUM(Form_Responses[[#This Row],[Score17]],Form_Responses[[#This Row],[Score18]],Form_Responses[[#This Row],[Score19]],Form_Responses[[#This Row],[Score20]],Form_Responses[[#This Row],[Score21]],Form_Responses[[#This Row],[Score22]],Form_Responses[[#This Row],[Score23]],Form_Responses[[#This Row],[Score24]],Form_Responses[[#This Row],[Score25]],Form_Responses[[#This Row],[Score26]])</f>
        <v>22</v>
      </c>
      <c r="BP11" s="4" t="str">
        <f>IF(Form_Responses[[#This Row],[Anxiety Score2]]&lt;=13,"Low stress",IF(Form_Responses[[#This Row],[Anxiety Score2]]&lt;=26,"Moderate stress","High stress"))</f>
        <v xml:space="preserve">Moderate stress</v>
      </c>
      <c r="BQ11" s="3" t="s">
        <v>76</v>
      </c>
      <c r="BR11" s="3" t="s">
        <v>76</v>
      </c>
      <c r="BS11" s="3" t="s">
        <v>161</v>
      </c>
      <c r="BT11" s="3" t="s">
        <v>162</v>
      </c>
      <c r="BU11" s="3" t="s">
        <v>76</v>
      </c>
      <c r="BV11" s="3" t="s">
        <v>163</v>
      </c>
      <c r="BW11" s="3" t="s">
        <v>164</v>
      </c>
      <c r="BX11" s="3" t="s">
        <v>165</v>
      </c>
    </row>
    <row r="12" ht="22.5" customHeight="1">
      <c r="A12" s="2">
        <v>46192.200462766203</v>
      </c>
      <c r="B12" s="3" t="s">
        <v>76</v>
      </c>
      <c r="C12" s="3" t="s">
        <v>77</v>
      </c>
      <c r="D12" s="3" t="s">
        <v>112</v>
      </c>
      <c r="E12" s="3" t="s">
        <v>79</v>
      </c>
      <c r="F12" s="3" t="s">
        <v>166</v>
      </c>
      <c r="G12" s="3" t="s">
        <v>131</v>
      </c>
      <c r="H12" s="3" t="s">
        <v>122</v>
      </c>
      <c r="I12" s="3" t="s">
        <v>114</v>
      </c>
      <c r="J12" s="3" t="s">
        <v>84</v>
      </c>
      <c r="K12" s="3" t="s">
        <v>86</v>
      </c>
      <c r="L12" s="4">
        <f>IF(K12="Not at all",0,IF(K12="Several days",1,IF(K12="More than half the days",2,3)))</f>
        <v>1</v>
      </c>
      <c r="M12" s="3" t="s">
        <v>86</v>
      </c>
      <c r="N12" s="4">
        <f>IF(M12="Not at all",0,IF(M12="Several days",1,IF(M12="More than half the days",2,3)))</f>
        <v>1</v>
      </c>
      <c r="O12" s="3" t="s">
        <v>85</v>
      </c>
      <c r="P12" s="5">
        <f>IF(O12="Not at all",0,IF(O12="Several days",1,IF(O12="More than half the days",2,3)))</f>
        <v>0</v>
      </c>
      <c r="Q12" s="3" t="s">
        <v>86</v>
      </c>
      <c r="R12" s="4">
        <f>IF(Q12="Not at all",0,IF(Q12="Several days",1,IF(Q12="More than half the days",2,3)))</f>
        <v>1</v>
      </c>
      <c r="S12" s="3" t="s">
        <v>86</v>
      </c>
      <c r="T12" s="4">
        <f>IF(S12="Not at all",0,IF(S12="Several days",1,IF(S12="More than half the days",2,3)))</f>
        <v>1</v>
      </c>
      <c r="U12" s="3" t="s">
        <v>85</v>
      </c>
      <c r="V12" s="4">
        <f>IF(U12="Not at all",0,IF(U12="Several days",1,IF(U12="More than half the days",2,3)))</f>
        <v>0</v>
      </c>
      <c r="W12" s="3" t="s">
        <v>104</v>
      </c>
      <c r="X12" s="4">
        <f>IF(W12="Not at all",0,IF(W12="Several days",1,IF(W12="More than half the days",2,3)))</f>
        <v>3</v>
      </c>
      <c r="Y12" s="3" t="s">
        <v>104</v>
      </c>
      <c r="Z12" s="4">
        <f>IF(Y12="Not at all",0,IF(Y12="Several days",1,IF(Y12="More than half the days",2,3)))</f>
        <v>3</v>
      </c>
      <c r="AA12" s="3" t="s">
        <v>85</v>
      </c>
      <c r="AB12" s="4">
        <f>IF(AA12="Not at all",0,IF(AA12="Several days",1,IF(AA12="More than half the days",2,3)))</f>
        <v>0</v>
      </c>
      <c r="AC12" s="4">
        <f>SUM(Form_Responses[[#This Row],[Score]],Form_Responses[[#This Row],[Score2]],Form_Responses[[#This Row],[Score3]],Form_Responses[[#This Row],[Score4]],Form_Responses[[#This Row],[Score5]],Form_Responses[[#This Row],[Score6]],Form_Responses[[#This Row],[Score7]],Form_Responses[[#This Row],[Score8]],Form_Responses[[#This Row],[Score9]])</f>
        <v>10</v>
      </c>
      <c r="AD12" s="4" t="str">
        <f>IF(Form_Responses[[#This Row],[Depression Score ]]&lt;=4,"Minimal symptoms",IF(Form_Responses[[#This Row],[Depression Score ]]&lt;=9,"Mild Depression",IF(Form_Responses[[#This Row],[Depression Score ]]&lt;=14,"Moderate depression",IF(Form_Responses[[#This Row],[Depression Score ]]&lt;=19,"Moderately severe depression","Severe depression"))))</f>
        <v xml:space="preserve">Moderate depression</v>
      </c>
      <c r="AE12" s="3" t="s">
        <v>85</v>
      </c>
      <c r="AF12" s="4">
        <f>IF(AE12="Not at all",0,IF(AE12="Several days",1,IF(AE12="More than half the days",2,3)))</f>
        <v>0</v>
      </c>
      <c r="AG12" s="3" t="s">
        <v>86</v>
      </c>
      <c r="AH12" s="4">
        <f>IF(AG12="Not at all",0,IF(AG12="Several days",1,IF(AG12="More than half the days",2,3)))</f>
        <v>1</v>
      </c>
      <c r="AI12" s="3" t="s">
        <v>104</v>
      </c>
      <c r="AJ12" s="4">
        <f>IF(AI12="Not at all",0,IF(AI12="Several days",1,IF(AI12="More than half the days",2,3)))</f>
        <v>3</v>
      </c>
      <c r="AK12" s="3" t="s">
        <v>86</v>
      </c>
      <c r="AL12" s="4">
        <f>IF(AK12="Not at all",0,IF(AK12="Several days",1,IF(AK12="More than half the days",2,3)))</f>
        <v>1</v>
      </c>
      <c r="AM12" s="3" t="s">
        <v>86</v>
      </c>
      <c r="AN12" s="4">
        <f>IF(AM12="Not at all",0,IF(AM12="Several days",1,IF(AM12="More than half the days",2,3)))</f>
        <v>1</v>
      </c>
      <c r="AO12" s="3" t="s">
        <v>86</v>
      </c>
      <c r="AP12" s="4">
        <f>IF(AO12="Not at all",0,IF(AO12="Several days",1,IF(AO12="More than half the days",2,3)))</f>
        <v>1</v>
      </c>
      <c r="AQ12" s="3" t="s">
        <v>86</v>
      </c>
      <c r="AR12" s="4">
        <f>IF(AQ12="Not at all",0,IF(AQ12="Several days",1,IF(AQ12="More than half the days",2,3)))</f>
        <v>1</v>
      </c>
      <c r="AS12" s="4">
        <f>SUM(Form_Responses[[#This Row],[Score16]],Form_Responses[[#This Row],[Score10]],Form_Responses[[#This Row],[Score11]],Form_Responses[[#This Row],[Score12]],Form_Responses[[#This Row],[Score13]],Form_Responses[[#This Row],[Score14]],Form_Responses[[#This Row],[Score15]])</f>
        <v>8</v>
      </c>
      <c r="AT12" s="4" t="str">
        <f>IF(Form_Responses[[#This Row],[Anxiety Score]]&lt;=4,"Minimal anxiety",IF(Form_Responses[[#This Row],[Anxiety Score]]&lt;=9,"Mild anxiety",IF(Form_Responses[[#This Row],[Anxiety Score]]&lt;=14,"Moderate anxiety","Severe anxiety")))</f>
        <v xml:space="preserve">Mild anxiety</v>
      </c>
      <c r="AU12" s="3" t="s">
        <v>105</v>
      </c>
      <c r="AV12" s="4">
        <f>IF(Form_Responses[[#This Row],[1. In the last month, how often have you been upset because of unexpected situations related to academics, finances, or personal life?]]="Never",0,IF(Form_Responses[[#This Row],[1. In the last month, how often have you been upset because of unexpected situations related to academics, finances, or personal life?]]="Almost never",1,IF(Form_Responses[[#This Row],[1. In the last month, how often have you been upset because of unexpected situations related to academics, finances, or personal life?]]="Sometimes",2,IF(Form_Responses[[#This Row],[1. In the last month, how often have you been upset because of unexpected situations related to academics, finances, or personal life?]]="Fairly often",3,4))))</f>
        <v>4</v>
      </c>
      <c r="AW12" s="3" t="s">
        <v>105</v>
      </c>
      <c r="AX12" s="5">
        <f>IF(Form_Responses[[#This Row],[2. In the last month, how often have you felt unable to control important things in your academic or personal life?]]="Never",0,IF(Form_Responses[[#This Row],[2. In the last month, how often have you felt unable to control important things in your academic or personal life?]]="Almost never",1,IF(Form_Responses[[#This Row],[2. In the last month, how often have you felt unable to control important things in your academic or personal life?]]="Sometimes",2,IF(Form_Responses[[#This Row],[2. In the last month, how often have you felt unable to control important things in your academic or personal life?]]="Fairly often",3,4))))</f>
        <v>4</v>
      </c>
      <c r="AY12" s="3" t="s">
        <v>105</v>
      </c>
      <c r="AZ12" s="4">
        <f>IF(Form_Responses[[#This Row],[3. In the last month, how often have you felt nervous or stressed because of university responsibilities or personal challenges?]]="Never",0,IF(Form_Responses[[#This Row],[3. In the last month, how often have you felt nervous or stressed because of university responsibilities or personal challenges?]]="Almost never",1,IF(Form_Responses[[#This Row],[3. In the last month, how often have you felt nervous or stressed because of university responsibilities or personal challenges?]]="Sometimes",2,IF(Form_Responses[[#This Row],[3. In the last month, how often have you felt nervous or stressed because of university responsibilities or personal challenges?]]="Fairly often",3,4))))</f>
        <v>4</v>
      </c>
      <c r="BA12" s="3" t="s">
        <v>88</v>
      </c>
      <c r="BB12" s="4">
        <f>IF(Form_Responses[[#This Row],[4. In the last month, how often have you felt confident about your ability to handle academic or personal problems?]]="Never",4,IF(Form_Responses[[#This Row],[4. In the last month, how often have you felt confident about your ability to handle academic or personal problems?]]="Almost never",3,IF(Form_Responses[[#This Row],[4. In the last month, how often have you felt confident about your ability to handle academic or personal problems?]]="Sometimes",2,IF(Form_Responses[[#This Row],[4. In the last month, how often have you felt confident about your ability to handle academic or personal problems?]]="Fairly often",1,0))))</f>
        <v>1</v>
      </c>
      <c r="BC12" s="3" t="s">
        <v>89</v>
      </c>
      <c r="BD12" s="4">
        <f>IF(Form_Responses[[#This Row],[5. In the last month, how often have you felt that things were going well in your studies or personal life?]]="Never",4,IF(Form_Responses[[#This Row],[5. In the last month, how often have you felt that things were going well in your studies or personal life?]]="Almost never",3,IF(Form_Responses[[#This Row],[5. In the last month, how often have you felt that things were going well in your studies or personal life?]]="Sometimes",2,IF(Form_Responses[[#This Row],[5. In the last month, how often have you felt that things were going well in your studies or personal life?]]="Fairly often",1,0))))</f>
        <v>2</v>
      </c>
      <c r="BE12" s="3" t="s">
        <v>89</v>
      </c>
      <c r="BF12" s="4">
        <f>IF(Form_Responses[[#This Row],[6. In the last month, how often have you felt unable to cope with coursework, deadlines, or daily responsibilities?]]="Never",0,IF(Form_Responses[[#This Row],[6. In the last month, how often have you felt unable to cope with coursework, deadlines, or daily responsibilities?]]="Almost never",1,IF(Form_Responses[[#This Row],[6. In the last month, how often have you felt unable to cope with coursework, deadlines, or daily responsibilities?]]="Sometimes",2,IF(Form_Responses[[#This Row],[6. In the last month, how often have you felt unable to cope with coursework, deadlines, or daily responsibilities?]]="Fairly often",3,4))))</f>
        <v>2</v>
      </c>
      <c r="BG12" s="3" t="s">
        <v>89</v>
      </c>
      <c r="BH12" s="4">
        <f>IF(Form_Responses[[#This Row],[7. In the last month, how often have you been able to control irritations or frustrations in your life?]]="Never",4,IF(Form_Responses[[#This Row],[7. In the last month, how often have you been able to control irritations or frustrations in your life?]]="Almost never",3,IF(Form_Responses[[#This Row],[7. In the last month, how often have you been able to control irritations or frustrations in your life?]]="Sometimes",2,IF(Form_Responses[[#This Row],[7. In the last month, how often have you been able to control irritations or frustrations in your life?]]="Fairly often",1,0))))</f>
        <v>2</v>
      </c>
      <c r="BI12" s="3" t="s">
        <v>89</v>
      </c>
      <c r="BJ12" s="4">
        <f>IF(Form_Responses[[#This Row],[8. In the last month, how often have you felt that you were managing your academic and personal responsibilities well?]]="Never",4,IF(Form_Responses[[#This Row],[8. In the last month, how often have you felt that you were managing your academic and personal responsibilities well?]]="Almost never",3,IF(Form_Responses[[#This Row],[8. In the last month, how often have you felt that you were managing your academic and personal responsibilities well?]]="Sometimes",2,IF(Form_Responses[[#This Row],[8. In the last month, how often have you felt that you were managing your academic and personal responsibilities well?]]="Fairly often",1,0))))</f>
        <v>2</v>
      </c>
      <c r="BK12" s="3" t="s">
        <v>89</v>
      </c>
      <c r="BL12" s="5">
        <f>IF(Form_Responses[[#This Row],[9. In the last month, how often have you been angered or frustrated by situations outside your control, such as finances, academics, or relationships?]]="Never",0,IF(Form_Responses[[#This Row],[9. In the last month, how often have you been angered or frustrated by situations outside your control, such as finances, academics, or relationships?]]="Almost never",1,IF(Form_Responses[[#This Row],[9. In the last month, how often have you been angered or frustrated by situations outside your control, such as finances, academics, or relationships?]]="Sometimes",2,IF(Form_Responses[[#This Row],[9. In the last month, how often have you been angered or frustrated by situations outside your control, such as finances, academics, or relationships?]]="Fairly often",3,4))))</f>
        <v>2</v>
      </c>
      <c r="BM12" s="3" t="s">
        <v>89</v>
      </c>
      <c r="BN12" s="4">
        <f>IF(Form_Responses[[#This Row],[10. In the last month, how often have you felt that difficulties were piling up so much that you could not overcome them?]]="Never",0,IF(Form_Responses[[#This Row],[10. In the last month, how often have you felt that difficulties were piling up so much that you could not overcome them?]]="Almost never",1,IF(Form_Responses[[#This Row],[10. In the last month, how often have you felt that difficulties were piling up so much that you could not overcome them?]]="Sometimes",2,IF(Form_Responses[[#This Row],[10. In the last month, how often have you felt that difficulties were piling up so much that you could not overcome them?]]="Fairly often",3,4))))</f>
        <v>2</v>
      </c>
      <c r="BO12" s="4">
        <f>SUM(Form_Responses[[#This Row],[Score17]],Form_Responses[[#This Row],[Score18]],Form_Responses[[#This Row],[Score19]],Form_Responses[[#This Row],[Score20]],Form_Responses[[#This Row],[Score21]],Form_Responses[[#This Row],[Score22]],Form_Responses[[#This Row],[Score23]],Form_Responses[[#This Row],[Score24]],Form_Responses[[#This Row],[Score25]],Form_Responses[[#This Row],[Score26]])</f>
        <v>25</v>
      </c>
      <c r="BP12" s="4" t="str">
        <f>IF(Form_Responses[[#This Row],[Anxiety Score2]]&lt;=13,"Low stress",IF(Form_Responses[[#This Row],[Anxiety Score2]]&lt;=26,"Moderate stress","High stress"))</f>
        <v xml:space="preserve">Moderate stress</v>
      </c>
      <c r="BQ12" s="3" t="s">
        <v>91</v>
      </c>
      <c r="BR12" s="3" t="s">
        <v>106</v>
      </c>
      <c r="BS12" s="3" t="s">
        <v>161</v>
      </c>
      <c r="BT12" s="3" t="s">
        <v>162</v>
      </c>
      <c r="BU12" s="3" t="s">
        <v>76</v>
      </c>
      <c r="BV12" s="3" t="s">
        <v>167</v>
      </c>
      <c r="BW12" s="3" t="s">
        <v>168</v>
      </c>
      <c r="BX12" s="3" t="s">
        <v>169</v>
      </c>
    </row>
    <row r="13" ht="22.5" customHeight="1">
      <c r="A13" s="2">
        <v>46192.280167002318</v>
      </c>
      <c r="B13" s="3" t="s">
        <v>76</v>
      </c>
      <c r="C13" s="3" t="s">
        <v>154</v>
      </c>
      <c r="D13" s="3" t="s">
        <v>78</v>
      </c>
      <c r="E13" s="3" t="s">
        <v>79</v>
      </c>
      <c r="F13" s="3" t="s">
        <v>170</v>
      </c>
      <c r="G13" s="3" t="s">
        <v>81</v>
      </c>
      <c r="H13" s="3" t="s">
        <v>101</v>
      </c>
      <c r="I13" s="3" t="s">
        <v>83</v>
      </c>
      <c r="J13" s="3" t="s">
        <v>84</v>
      </c>
      <c r="K13" s="3" t="s">
        <v>87</v>
      </c>
      <c r="L13" s="4">
        <f>IF(K13="Not at all",0,IF(K13="Several days",1,IF(K13="More than half the days",2,3)))</f>
        <v>2</v>
      </c>
      <c r="M13" s="3" t="s">
        <v>86</v>
      </c>
      <c r="N13" s="4">
        <f>IF(M13="Not at all",0,IF(M13="Several days",1,IF(M13="More than half the days",2,3)))</f>
        <v>1</v>
      </c>
      <c r="O13" s="3" t="s">
        <v>87</v>
      </c>
      <c r="P13" s="5">
        <f>IF(O13="Not at all",0,IF(O13="Several days",1,IF(O13="More than half the days",2,3)))</f>
        <v>2</v>
      </c>
      <c r="Q13" s="3" t="s">
        <v>87</v>
      </c>
      <c r="R13" s="4">
        <f>IF(Q13="Not at all",0,IF(Q13="Several days",1,IF(Q13="More than half the days",2,3)))</f>
        <v>2</v>
      </c>
      <c r="S13" s="3" t="s">
        <v>85</v>
      </c>
      <c r="T13" s="4">
        <f>IF(S13="Not at all",0,IF(S13="Several days",1,IF(S13="More than half the days",2,3)))</f>
        <v>0</v>
      </c>
      <c r="U13" s="3" t="s">
        <v>85</v>
      </c>
      <c r="V13" s="4">
        <f>IF(U13="Not at all",0,IF(U13="Several days",1,IF(U13="More than half the days",2,3)))</f>
        <v>0</v>
      </c>
      <c r="W13" s="3" t="s">
        <v>87</v>
      </c>
      <c r="X13" s="4">
        <f>IF(W13="Not at all",0,IF(W13="Several days",1,IF(W13="More than half the days",2,3)))</f>
        <v>2</v>
      </c>
      <c r="Y13" s="3" t="s">
        <v>85</v>
      </c>
      <c r="Z13" s="4">
        <f>IF(Y13="Not at all",0,IF(Y13="Several days",1,IF(Y13="More than half the days",2,3)))</f>
        <v>0</v>
      </c>
      <c r="AA13" s="3" t="s">
        <v>86</v>
      </c>
      <c r="AB13" s="4">
        <f>IF(AA13="Not at all",0,IF(AA13="Several days",1,IF(AA13="More than half the days",2,3)))</f>
        <v>1</v>
      </c>
      <c r="AC13" s="4">
        <f>SUM(Form_Responses[[#This Row],[Score]],Form_Responses[[#This Row],[Score2]],Form_Responses[[#This Row],[Score3]],Form_Responses[[#This Row],[Score4]],Form_Responses[[#This Row],[Score5]],Form_Responses[[#This Row],[Score6]],Form_Responses[[#This Row],[Score7]],Form_Responses[[#This Row],[Score8]],Form_Responses[[#This Row],[Score9]])</f>
        <v>10</v>
      </c>
      <c r="AD13" s="4" t="str">
        <f>IF(Form_Responses[[#This Row],[Depression Score ]]&lt;=4,"Minimal symptoms",IF(Form_Responses[[#This Row],[Depression Score ]]&lt;=9,"Mild Depression",IF(Form_Responses[[#This Row],[Depression Score ]]&lt;=14,"Moderate depression",IF(Form_Responses[[#This Row],[Depression Score ]]&lt;=19,"Moderately severe depression","Severe depression"))))</f>
        <v xml:space="preserve">Moderate depression</v>
      </c>
      <c r="AE13" s="3" t="s">
        <v>85</v>
      </c>
      <c r="AF13" s="4">
        <f>IF(AE13="Not at all",0,IF(AE13="Several days",1,IF(AE13="More than half the days",2,3)))</f>
        <v>0</v>
      </c>
      <c r="AG13" s="3" t="s">
        <v>86</v>
      </c>
      <c r="AH13" s="4">
        <f>IF(AG13="Not at all",0,IF(AG13="Several days",1,IF(AG13="More than half the days",2,3)))</f>
        <v>1</v>
      </c>
      <c r="AI13" s="3" t="s">
        <v>86</v>
      </c>
      <c r="AJ13" s="4">
        <f>IF(AI13="Not at all",0,IF(AI13="Several days",1,IF(AI13="More than half the days",2,3)))</f>
        <v>1</v>
      </c>
      <c r="AK13" s="3" t="s">
        <v>87</v>
      </c>
      <c r="AL13" s="4">
        <f>IF(AK13="Not at all",0,IF(AK13="Several days",1,IF(AK13="More than half the days",2,3)))</f>
        <v>2</v>
      </c>
      <c r="AM13" s="3" t="s">
        <v>86</v>
      </c>
      <c r="AN13" s="4">
        <f>IF(AM13="Not at all",0,IF(AM13="Several days",1,IF(AM13="More than half the days",2,3)))</f>
        <v>1</v>
      </c>
      <c r="AO13" s="3" t="s">
        <v>104</v>
      </c>
      <c r="AP13" s="4">
        <f>IF(AO13="Not at all",0,IF(AO13="Several days",1,IF(AO13="More than half the days",2,3)))</f>
        <v>3</v>
      </c>
      <c r="AQ13" s="3" t="s">
        <v>104</v>
      </c>
      <c r="AR13" s="4">
        <f>IF(AQ13="Not at all",0,IF(AQ13="Several days",1,IF(AQ13="More than half the days",2,3)))</f>
        <v>3</v>
      </c>
      <c r="AS13" s="4">
        <f>SUM(Form_Responses[[#This Row],[Score16]],Form_Responses[[#This Row],[Score10]],Form_Responses[[#This Row],[Score11]],Form_Responses[[#This Row],[Score12]],Form_Responses[[#This Row],[Score13]],Form_Responses[[#This Row],[Score14]],Form_Responses[[#This Row],[Score15]])</f>
        <v>11</v>
      </c>
      <c r="AT13" s="4" t="str">
        <f>IF(Form_Responses[[#This Row],[Anxiety Score]]&lt;=4,"Minimal anxiety",IF(Form_Responses[[#This Row],[Anxiety Score]]&lt;=9,"Mild anxiety",IF(Form_Responses[[#This Row],[Anxiety Score]]&lt;=14,"Moderate anxiety","Severe anxiety")))</f>
        <v xml:space="preserve">Moderate anxiety</v>
      </c>
      <c r="AU13" s="3" t="s">
        <v>89</v>
      </c>
      <c r="AV13" s="4">
        <f>IF(Form_Responses[[#This Row],[1. In the last month, how often have you been upset because of unexpected situations related to academics, finances, or personal life?]]="Never",0,IF(Form_Responses[[#This Row],[1. In the last month, how often have you been upset because of unexpected situations related to academics, finances, or personal life?]]="Almost never",1,IF(Form_Responses[[#This Row],[1. In the last month, how often have you been upset because of unexpected situations related to academics, finances, or personal life?]]="Sometimes",2,IF(Form_Responses[[#This Row],[1. In the last month, how often have you been upset because of unexpected situations related to academics, finances, or personal life?]]="Fairly often",3,4))))</f>
        <v>2</v>
      </c>
      <c r="AW13" s="3" t="s">
        <v>90</v>
      </c>
      <c r="AX13" s="5">
        <f>IF(Form_Responses[[#This Row],[2. In the last month, how often have you felt unable to control important things in your academic or personal life?]]="Never",0,IF(Form_Responses[[#This Row],[2. In the last month, how often have you felt unable to control important things in your academic or personal life?]]="Almost never",1,IF(Form_Responses[[#This Row],[2. In the last month, how often have you felt unable to control important things in your academic or personal life?]]="Sometimes",2,IF(Form_Responses[[#This Row],[2. In the last month, how often have you felt unable to control important things in your academic or personal life?]]="Fairly often",3,4))))</f>
        <v>1</v>
      </c>
      <c r="AY13" s="3" t="s">
        <v>90</v>
      </c>
      <c r="AZ13" s="4">
        <f>IF(Form_Responses[[#This Row],[3. In the last month, how often have you felt nervous or stressed because of university responsibilities or personal challenges?]]="Never",0,IF(Form_Responses[[#This Row],[3. In the last month, how often have you felt nervous or stressed because of university responsibilities or personal challenges?]]="Almost never",1,IF(Form_Responses[[#This Row],[3. In the last month, how often have you felt nervous or stressed because of university responsibilities or personal challenges?]]="Sometimes",2,IF(Form_Responses[[#This Row],[3. In the last month, how often have you felt nervous or stressed because of university responsibilities or personal challenges?]]="Fairly often",3,4))))</f>
        <v>1</v>
      </c>
      <c r="BA13" s="3" t="s">
        <v>89</v>
      </c>
      <c r="BB13" s="4">
        <f>IF(Form_Responses[[#This Row],[4. In the last month, how often have you felt confident about your ability to handle academic or personal problems?]]="Never",4,IF(Form_Responses[[#This Row],[4. In the last month, how often have you felt confident about your ability to handle academic or personal problems?]]="Almost never",3,IF(Form_Responses[[#This Row],[4. In the last month, how often have you felt confident about your ability to handle academic or personal problems?]]="Sometimes",2,IF(Form_Responses[[#This Row],[4. In the last month, how often have you felt confident about your ability to handle academic or personal problems?]]="Fairly often",1,0))))</f>
        <v>2</v>
      </c>
      <c r="BC13" s="3" t="s">
        <v>89</v>
      </c>
      <c r="BD13" s="4">
        <f>IF(Form_Responses[[#This Row],[5. In the last month, how often have you felt that things were going well in your studies or personal life?]]="Never",4,IF(Form_Responses[[#This Row],[5. In the last month, how often have you felt that things were going well in your studies or personal life?]]="Almost never",3,IF(Form_Responses[[#This Row],[5. In the last month, how often have you felt that things were going well in your studies or personal life?]]="Sometimes",2,IF(Form_Responses[[#This Row],[5. In the last month, how often have you felt that things were going well in your studies or personal life?]]="Fairly often",1,0))))</f>
        <v>2</v>
      </c>
      <c r="BE13" s="3" t="s">
        <v>90</v>
      </c>
      <c r="BF13" s="4">
        <f>IF(Form_Responses[[#This Row],[6. In the last month, how often have you felt unable to cope with coursework, deadlines, or daily responsibilities?]]="Never",0,IF(Form_Responses[[#This Row],[6. In the last month, how often have you felt unable to cope with coursework, deadlines, or daily responsibilities?]]="Almost never",1,IF(Form_Responses[[#This Row],[6. In the last month, how often have you felt unable to cope with coursework, deadlines, or daily responsibilities?]]="Sometimes",2,IF(Form_Responses[[#This Row],[6. In the last month, how often have you felt unable to cope with coursework, deadlines, or daily responsibilities?]]="Fairly often",3,4))))</f>
        <v>1</v>
      </c>
      <c r="BG13" s="3" t="s">
        <v>89</v>
      </c>
      <c r="BH13" s="4">
        <f>IF(Form_Responses[[#This Row],[7. In the last month, how often have you been able to control irritations or frustrations in your life?]]="Never",4,IF(Form_Responses[[#This Row],[7. In the last month, how often have you been able to control irritations or frustrations in your life?]]="Almost never",3,IF(Form_Responses[[#This Row],[7. In the last month, how often have you been able to control irritations or frustrations in your life?]]="Sometimes",2,IF(Form_Responses[[#This Row],[7. In the last month, how often have you been able to control irritations or frustrations in your life?]]="Fairly often",1,0))))</f>
        <v>2</v>
      </c>
      <c r="BI13" s="3" t="s">
        <v>89</v>
      </c>
      <c r="BJ13" s="4">
        <f>IF(Form_Responses[[#This Row],[8. In the last month, how often have you felt that you were managing your academic and personal responsibilities well?]]="Never",4,IF(Form_Responses[[#This Row],[8. In the last month, how often have you felt that you were managing your academic and personal responsibilities well?]]="Almost never",3,IF(Form_Responses[[#This Row],[8. In the last month, how often have you felt that you were managing your academic and personal responsibilities well?]]="Sometimes",2,IF(Form_Responses[[#This Row],[8. In the last month, how often have you felt that you were managing your academic and personal responsibilities well?]]="Fairly often",1,0))))</f>
        <v>2</v>
      </c>
      <c r="BK13" s="3" t="s">
        <v>90</v>
      </c>
      <c r="BL13" s="5">
        <f>IF(Form_Responses[[#This Row],[9. In the last month, how often have you been angered or frustrated by situations outside your control, such as finances, academics, or relationships?]]="Never",0,IF(Form_Responses[[#This Row],[9. In the last month, how often have you been angered or frustrated by situations outside your control, such as finances, academics, or relationships?]]="Almost never",1,IF(Form_Responses[[#This Row],[9. In the last month, how often have you been angered or frustrated by situations outside your control, such as finances, academics, or relationships?]]="Sometimes",2,IF(Form_Responses[[#This Row],[9. In the last month, how often have you been angered or frustrated by situations outside your control, such as finances, academics, or relationships?]]="Fairly often",3,4))))</f>
        <v>1</v>
      </c>
      <c r="BM13" s="3" t="s">
        <v>90</v>
      </c>
      <c r="BN13" s="4">
        <f>IF(Form_Responses[[#This Row],[10. In the last month, how often have you felt that difficulties were piling up so much that you could not overcome them?]]="Never",0,IF(Form_Responses[[#This Row],[10. In the last month, how often have you felt that difficulties were piling up so much that you could not overcome them?]]="Almost never",1,IF(Form_Responses[[#This Row],[10. In the last month, how often have you felt that difficulties were piling up so much that you could not overcome them?]]="Sometimes",2,IF(Form_Responses[[#This Row],[10. In the last month, how often have you felt that difficulties were piling up so much that you could not overcome them?]]="Fairly often",3,4))))</f>
        <v>1</v>
      </c>
      <c r="BO13" s="4">
        <f>SUM(Form_Responses[[#This Row],[Score17]],Form_Responses[[#This Row],[Score18]],Form_Responses[[#This Row],[Score19]],Form_Responses[[#This Row],[Score20]],Form_Responses[[#This Row],[Score21]],Form_Responses[[#This Row],[Score22]],Form_Responses[[#This Row],[Score23]],Form_Responses[[#This Row],[Score24]],Form_Responses[[#This Row],[Score25]],Form_Responses[[#This Row],[Score26]])</f>
        <v>15</v>
      </c>
      <c r="BP13" s="4" t="str">
        <f>IF(Form_Responses[[#This Row],[Anxiety Score2]]&lt;=13,"Low stress",IF(Form_Responses[[#This Row],[Anxiety Score2]]&lt;=26,"Moderate stress","High stress"))</f>
        <v xml:space="preserve">Moderate stress</v>
      </c>
      <c r="BQ13" s="3" t="s">
        <v>91</v>
      </c>
      <c r="BR13" s="3" t="s">
        <v>106</v>
      </c>
      <c r="BS13" s="3" t="s">
        <v>125</v>
      </c>
      <c r="BT13" s="3" t="s">
        <v>126</v>
      </c>
      <c r="BU13" s="3" t="s">
        <v>76</v>
      </c>
      <c r="BV13" s="3" t="s">
        <v>171</v>
      </c>
      <c r="BW13" s="3" t="s">
        <v>172</v>
      </c>
      <c r="BX13" s="3" t="s">
        <v>173</v>
      </c>
    </row>
    <row r="14" ht="22.5" customHeight="1">
      <c r="A14" s="2">
        <v>46192.326236516208</v>
      </c>
      <c r="B14" s="3" t="s">
        <v>76</v>
      </c>
      <c r="C14" s="3" t="s">
        <v>154</v>
      </c>
      <c r="D14" s="3" t="s">
        <v>78</v>
      </c>
      <c r="E14" s="3" t="s">
        <v>79</v>
      </c>
      <c r="F14" s="3" t="s">
        <v>170</v>
      </c>
      <c r="G14" s="3" t="s">
        <v>81</v>
      </c>
      <c r="H14" s="3" t="s">
        <v>82</v>
      </c>
      <c r="I14" s="3" t="s">
        <v>114</v>
      </c>
      <c r="J14" s="3" t="s">
        <v>160</v>
      </c>
      <c r="K14" s="3" t="s">
        <v>142</v>
      </c>
      <c r="L14" s="4">
        <f>IF(K14="Not at all",0,IF(K14="Several days",1,IF(K14="More than half the days",2,3)))</f>
        <v>3</v>
      </c>
      <c r="M14" s="3" t="s">
        <v>104</v>
      </c>
      <c r="N14" s="4">
        <f>IF(M14="Not at all",0,IF(M14="Several days",1,IF(M14="More than half the days",2,3)))</f>
        <v>3</v>
      </c>
      <c r="O14" s="3" t="s">
        <v>87</v>
      </c>
      <c r="P14" s="5">
        <f>IF(O14="Not at all",0,IF(O14="Several days",1,IF(O14="More than half the days",2,3)))</f>
        <v>2</v>
      </c>
      <c r="Q14" s="3" t="s">
        <v>104</v>
      </c>
      <c r="R14" s="4">
        <f>IF(Q14="Not at all",0,IF(Q14="Several days",1,IF(Q14="More than half the days",2,3)))</f>
        <v>3</v>
      </c>
      <c r="S14" s="3" t="s">
        <v>85</v>
      </c>
      <c r="T14" s="4">
        <f>IF(S14="Not at all",0,IF(S14="Several days",1,IF(S14="More than half the days",2,3)))</f>
        <v>0</v>
      </c>
      <c r="U14" s="3" t="s">
        <v>85</v>
      </c>
      <c r="V14" s="4">
        <f>IF(U14="Not at all",0,IF(U14="Several days",1,IF(U14="More than half the days",2,3)))</f>
        <v>0</v>
      </c>
      <c r="W14" s="3" t="s">
        <v>104</v>
      </c>
      <c r="X14" s="4">
        <f>IF(W14="Not at all",0,IF(W14="Several days",1,IF(W14="More than half the days",2,3)))</f>
        <v>3</v>
      </c>
      <c r="Y14" s="3" t="s">
        <v>85</v>
      </c>
      <c r="Z14" s="4">
        <f>IF(Y14="Not at all",0,IF(Y14="Several days",1,IF(Y14="More than half the days",2,3)))</f>
        <v>0</v>
      </c>
      <c r="AA14" s="3" t="s">
        <v>86</v>
      </c>
      <c r="AB14" s="4">
        <f>IF(AA14="Not at all",0,IF(AA14="Several days",1,IF(AA14="More than half the days",2,3)))</f>
        <v>1</v>
      </c>
      <c r="AC14" s="4">
        <f>SUM(Form_Responses[[#This Row],[Score]],Form_Responses[[#This Row],[Score2]],Form_Responses[[#This Row],[Score3]],Form_Responses[[#This Row],[Score4]],Form_Responses[[#This Row],[Score5]],Form_Responses[[#This Row],[Score6]],Form_Responses[[#This Row],[Score7]],Form_Responses[[#This Row],[Score8]],Form_Responses[[#This Row],[Score9]])</f>
        <v>15</v>
      </c>
      <c r="AD14" s="4" t="str">
        <f>IF(Form_Responses[[#This Row],[Depression Score ]]&lt;=4,"Minimal symptoms",IF(Form_Responses[[#This Row],[Depression Score ]]&lt;=9,"Mild Depression",IF(Form_Responses[[#This Row],[Depression Score ]]&lt;=14,"Moderate depression",IF(Form_Responses[[#This Row],[Depression Score ]]&lt;=19,"Moderately severe depression","Severe depression"))))</f>
        <v xml:space="preserve">Moderately severe depression</v>
      </c>
      <c r="AE14" s="3" t="s">
        <v>86</v>
      </c>
      <c r="AF14" s="4">
        <f>IF(AE14="Not at all",0,IF(AE14="Several days",1,IF(AE14="More than half the days",2,3)))</f>
        <v>1</v>
      </c>
      <c r="AG14" s="3" t="s">
        <v>85</v>
      </c>
      <c r="AH14" s="4">
        <f>IF(AG14="Not at all",0,IF(AG14="Several days",1,IF(AG14="More than half the days",2,3)))</f>
        <v>0</v>
      </c>
      <c r="AI14" s="3" t="s">
        <v>104</v>
      </c>
      <c r="AJ14" s="4">
        <f>IF(AI14="Not at all",0,IF(AI14="Several days",1,IF(AI14="More than half the days",2,3)))</f>
        <v>3</v>
      </c>
      <c r="AK14" s="3" t="s">
        <v>104</v>
      </c>
      <c r="AL14" s="4">
        <f>IF(AK14="Not at all",0,IF(AK14="Several days",1,IF(AK14="More than half the days",2,3)))</f>
        <v>3</v>
      </c>
      <c r="AM14" s="3" t="s">
        <v>104</v>
      </c>
      <c r="AN14" s="4">
        <f>IF(AM14="Not at all",0,IF(AM14="Several days",1,IF(AM14="More than half the days",2,3)))</f>
        <v>3</v>
      </c>
      <c r="AO14" s="3" t="s">
        <v>104</v>
      </c>
      <c r="AP14" s="4">
        <f>IF(AO14="Not at all",0,IF(AO14="Several days",1,IF(AO14="More than half the days",2,3)))</f>
        <v>3</v>
      </c>
      <c r="AQ14" s="3" t="s">
        <v>86</v>
      </c>
      <c r="AR14" s="4">
        <f>IF(AQ14="Not at all",0,IF(AQ14="Several days",1,IF(AQ14="More than half the days",2,3)))</f>
        <v>1</v>
      </c>
      <c r="AS14" s="4">
        <f>SUM(Form_Responses[[#This Row],[Score16]],Form_Responses[[#This Row],[Score10]],Form_Responses[[#This Row],[Score11]],Form_Responses[[#This Row],[Score12]],Form_Responses[[#This Row],[Score13]],Form_Responses[[#This Row],[Score14]],Form_Responses[[#This Row],[Score15]])</f>
        <v>14</v>
      </c>
      <c r="AT14" s="4" t="str">
        <f>IF(Form_Responses[[#This Row],[Anxiety Score]]&lt;=4,"Minimal anxiety",IF(Form_Responses[[#This Row],[Anxiety Score]]&lt;=9,"Mild anxiety",IF(Form_Responses[[#This Row],[Anxiety Score]]&lt;=14,"Moderate anxiety","Severe anxiety")))</f>
        <v xml:space="preserve">Moderate anxiety</v>
      </c>
      <c r="AU14" s="3" t="s">
        <v>88</v>
      </c>
      <c r="AV14" s="4">
        <f>IF(Form_Responses[[#This Row],[1. In the last month, how often have you been upset because of unexpected situations related to academics, finances, or personal life?]]="Never",0,IF(Form_Responses[[#This Row],[1. In the last month, how often have you been upset because of unexpected situations related to academics, finances, or personal life?]]="Almost never",1,IF(Form_Responses[[#This Row],[1. In the last month, how often have you been upset because of unexpected situations related to academics, finances, or personal life?]]="Sometimes",2,IF(Form_Responses[[#This Row],[1. In the last month, how often have you been upset because of unexpected situations related to academics, finances, or personal life?]]="Fairly often",3,4))))</f>
        <v>3</v>
      </c>
      <c r="AW14" s="3" t="s">
        <v>88</v>
      </c>
      <c r="AX14" s="5">
        <f>IF(Form_Responses[[#This Row],[2. In the last month, how often have you felt unable to control important things in your academic or personal life?]]="Never",0,IF(Form_Responses[[#This Row],[2. In the last month, how often have you felt unable to control important things in your academic or personal life?]]="Almost never",1,IF(Form_Responses[[#This Row],[2. In the last month, how often have you felt unable to control important things in your academic or personal life?]]="Sometimes",2,IF(Form_Responses[[#This Row],[2. In the last month, how often have you felt unable to control important things in your academic or personal life?]]="Fairly often",3,4))))</f>
        <v>3</v>
      </c>
      <c r="AY14" s="3" t="s">
        <v>105</v>
      </c>
      <c r="AZ14" s="4">
        <f>IF(Form_Responses[[#This Row],[3. In the last month, how often have you felt nervous or stressed because of university responsibilities or personal challenges?]]="Never",0,IF(Form_Responses[[#This Row],[3. In the last month, how often have you felt nervous or stressed because of university responsibilities or personal challenges?]]="Almost never",1,IF(Form_Responses[[#This Row],[3. In the last month, how often have you felt nervous or stressed because of university responsibilities or personal challenges?]]="Sometimes",2,IF(Form_Responses[[#This Row],[3. In the last month, how often have you felt nervous or stressed because of university responsibilities or personal challenges?]]="Fairly often",3,4))))</f>
        <v>4</v>
      </c>
      <c r="BA14" s="3" t="s">
        <v>89</v>
      </c>
      <c r="BB14" s="4">
        <f>IF(Form_Responses[[#This Row],[4. In the last month, how often have you felt confident about your ability to handle academic or personal problems?]]="Never",4,IF(Form_Responses[[#This Row],[4. In the last month, how often have you felt confident about your ability to handle academic or personal problems?]]="Almost never",3,IF(Form_Responses[[#This Row],[4. In the last month, how often have you felt confident about your ability to handle academic or personal problems?]]="Sometimes",2,IF(Form_Responses[[#This Row],[4. In the last month, how often have you felt confident about your ability to handle academic or personal problems?]]="Fairly often",1,0))))</f>
        <v>2</v>
      </c>
      <c r="BC14" s="3" t="s">
        <v>90</v>
      </c>
      <c r="BD14" s="4">
        <f>IF(Form_Responses[[#This Row],[5. In the last month, how often have you felt that things were going well in your studies or personal life?]]="Never",4,IF(Form_Responses[[#This Row],[5. In the last month, how often have you felt that things were going well in your studies or personal life?]]="Almost never",3,IF(Form_Responses[[#This Row],[5. In the last month, how often have you felt that things were going well in your studies or personal life?]]="Sometimes",2,IF(Form_Responses[[#This Row],[5. In the last month, how often have you felt that things were going well in your studies or personal life?]]="Fairly often",1,0))))</f>
        <v>3</v>
      </c>
      <c r="BE14" s="3" t="s">
        <v>105</v>
      </c>
      <c r="BF14" s="4">
        <f>IF(Form_Responses[[#This Row],[6. In the last month, how often have you felt unable to cope with coursework, deadlines, or daily responsibilities?]]="Never",0,IF(Form_Responses[[#This Row],[6. In the last month, how often have you felt unable to cope with coursework, deadlines, or daily responsibilities?]]="Almost never",1,IF(Form_Responses[[#This Row],[6. In the last month, how often have you felt unable to cope with coursework, deadlines, or daily responsibilities?]]="Sometimes",2,IF(Form_Responses[[#This Row],[6. In the last month, how often have you felt unable to cope with coursework, deadlines, or daily responsibilities?]]="Fairly often",3,4))))</f>
        <v>4</v>
      </c>
      <c r="BG14" s="3" t="s">
        <v>105</v>
      </c>
      <c r="BH14" s="4">
        <f>IF(Form_Responses[[#This Row],[7. In the last month, how often have you been able to control irritations or frustrations in your life?]]="Never",4,IF(Form_Responses[[#This Row],[7. In the last month, how often have you been able to control irritations or frustrations in your life?]]="Almost never",3,IF(Form_Responses[[#This Row],[7. In the last month, how often have you been able to control irritations or frustrations in your life?]]="Sometimes",2,IF(Form_Responses[[#This Row],[7. In the last month, how often have you been able to control irritations or frustrations in your life?]]="Fairly often",1,0))))</f>
        <v>0</v>
      </c>
      <c r="BI14" s="3" t="s">
        <v>88</v>
      </c>
      <c r="BJ14" s="4">
        <f>IF(Form_Responses[[#This Row],[8. In the last month, how often have you felt that you were managing your academic and personal responsibilities well?]]="Never",4,IF(Form_Responses[[#This Row],[8. In the last month, how often have you felt that you were managing your academic and personal responsibilities well?]]="Almost never",3,IF(Form_Responses[[#This Row],[8. In the last month, how often have you felt that you were managing your academic and personal responsibilities well?]]="Sometimes",2,IF(Form_Responses[[#This Row],[8. In the last month, how often have you felt that you were managing your academic and personal responsibilities well?]]="Fairly often",1,0))))</f>
        <v>1</v>
      </c>
      <c r="BK14" s="3" t="s">
        <v>89</v>
      </c>
      <c r="BL14" s="5">
        <f>IF(Form_Responses[[#This Row],[9. In the last month, how often have you been angered or frustrated by situations outside your control, such as finances, academics, or relationships?]]="Never",0,IF(Form_Responses[[#This Row],[9. In the last month, how often have you been angered or frustrated by situations outside your control, such as finances, academics, or relationships?]]="Almost never",1,IF(Form_Responses[[#This Row],[9. In the last month, how often have you been angered or frustrated by situations outside your control, such as finances, academics, or relationships?]]="Sometimes",2,IF(Form_Responses[[#This Row],[9. In the last month, how often have you been angered or frustrated by situations outside your control, such as finances, academics, or relationships?]]="Fairly often",3,4))))</f>
        <v>2</v>
      </c>
      <c r="BM14" s="3" t="s">
        <v>89</v>
      </c>
      <c r="BN14" s="4">
        <f>IF(Form_Responses[[#This Row],[10. In the last month, how often have you felt that difficulties were piling up so much that you could not overcome them?]]="Never",0,IF(Form_Responses[[#This Row],[10. In the last month, how often have you felt that difficulties were piling up so much that you could not overcome them?]]="Almost never",1,IF(Form_Responses[[#This Row],[10. In the last month, how often have you felt that difficulties were piling up so much that you could not overcome them?]]="Sometimes",2,IF(Form_Responses[[#This Row],[10. In the last month, how often have you felt that difficulties were piling up so much that you could not overcome them?]]="Fairly often",3,4))))</f>
        <v>2</v>
      </c>
      <c r="BO14" s="4">
        <f>SUM(Form_Responses[[#This Row],[Score17]],Form_Responses[[#This Row],[Score18]],Form_Responses[[#This Row],[Score19]],Form_Responses[[#This Row],[Score20]],Form_Responses[[#This Row],[Score21]],Form_Responses[[#This Row],[Score22]],Form_Responses[[#This Row],[Score23]],Form_Responses[[#This Row],[Score24]],Form_Responses[[#This Row],[Score25]],Form_Responses[[#This Row],[Score26]])</f>
        <v>24</v>
      </c>
      <c r="BP14" s="4" t="str">
        <f>IF(Form_Responses[[#This Row],[Anxiety Score2]]&lt;=13,"Low stress",IF(Form_Responses[[#This Row],[Anxiety Score2]]&lt;=26,"Moderate stress","High stress"))</f>
        <v xml:space="preserve">Moderate stress</v>
      </c>
      <c r="BQ14" s="3" t="s">
        <v>91</v>
      </c>
      <c r="BR14" s="3" t="s">
        <v>106</v>
      </c>
      <c r="BS14" s="3" t="s">
        <v>174</v>
      </c>
      <c r="BT14" s="3" t="s">
        <v>108</v>
      </c>
      <c r="BU14" s="3" t="s">
        <v>76</v>
      </c>
      <c r="BV14" s="3" t="s">
        <v>175</v>
      </c>
      <c r="BW14" s="3" t="s">
        <v>176</v>
      </c>
      <c r="BX14" s="3" t="s">
        <v>177</v>
      </c>
    </row>
    <row r="15" ht="22.5" customHeight="1">
      <c r="A15" s="2">
        <v>46192.336691689816</v>
      </c>
      <c r="B15" s="3" t="s">
        <v>76</v>
      </c>
      <c r="C15" s="3" t="s">
        <v>77</v>
      </c>
      <c r="D15" s="3" t="s">
        <v>78</v>
      </c>
      <c r="E15" s="3" t="s">
        <v>178</v>
      </c>
      <c r="F15" s="3" t="s">
        <v>179</v>
      </c>
      <c r="G15" s="3" t="s">
        <v>100</v>
      </c>
      <c r="H15" s="3" t="s">
        <v>101</v>
      </c>
      <c r="I15" s="3" t="s">
        <v>83</v>
      </c>
      <c r="J15" s="3" t="s">
        <v>160</v>
      </c>
      <c r="K15" s="3" t="s">
        <v>85</v>
      </c>
      <c r="L15" s="4">
        <f>IF(K15="Not at all",0,IF(K15="Several days",1,IF(K15="More than half the days",2,3)))</f>
        <v>0</v>
      </c>
      <c r="M15" s="3" t="s">
        <v>86</v>
      </c>
      <c r="N15" s="4">
        <f>IF(M15="Not at all",0,IF(M15="Several days",1,IF(M15="More than half the days",2,3)))</f>
        <v>1</v>
      </c>
      <c r="O15" s="3" t="s">
        <v>85</v>
      </c>
      <c r="P15" s="5">
        <f>IF(O15="Not at all",0,IF(O15="Several days",1,IF(O15="More than half the days",2,3)))</f>
        <v>0</v>
      </c>
      <c r="Q15" s="3" t="s">
        <v>86</v>
      </c>
      <c r="R15" s="4">
        <f>IF(Q15="Not at all",0,IF(Q15="Several days",1,IF(Q15="More than half the days",2,3)))</f>
        <v>1</v>
      </c>
      <c r="S15" s="3" t="s">
        <v>86</v>
      </c>
      <c r="T15" s="4">
        <f>IF(S15="Not at all",0,IF(S15="Several days",1,IF(S15="More than half the days",2,3)))</f>
        <v>1</v>
      </c>
      <c r="U15" s="3" t="s">
        <v>86</v>
      </c>
      <c r="V15" s="4">
        <f>IF(U15="Not at all",0,IF(U15="Several days",1,IF(U15="More than half the days",2,3)))</f>
        <v>1</v>
      </c>
      <c r="W15" s="3" t="s">
        <v>86</v>
      </c>
      <c r="X15" s="4">
        <f>IF(W15="Not at all",0,IF(W15="Several days",1,IF(W15="More than half the days",2,3)))</f>
        <v>1</v>
      </c>
      <c r="Y15" s="3" t="s">
        <v>86</v>
      </c>
      <c r="Z15" s="4">
        <f>IF(Y15="Not at all",0,IF(Y15="Several days",1,IF(Y15="More than half the days",2,3)))</f>
        <v>1</v>
      </c>
      <c r="AA15" s="3" t="s">
        <v>85</v>
      </c>
      <c r="AB15" s="4">
        <f>IF(AA15="Not at all",0,IF(AA15="Several days",1,IF(AA15="More than half the days",2,3)))</f>
        <v>0</v>
      </c>
      <c r="AC15" s="4">
        <f>SUM(Form_Responses[[#This Row],[Score]],Form_Responses[[#This Row],[Score2]],Form_Responses[[#This Row],[Score3]],Form_Responses[[#This Row],[Score4]],Form_Responses[[#This Row],[Score5]],Form_Responses[[#This Row],[Score6]],Form_Responses[[#This Row],[Score7]],Form_Responses[[#This Row],[Score8]],Form_Responses[[#This Row],[Score9]])</f>
        <v>6</v>
      </c>
      <c r="AD15" s="4" t="str">
        <f>IF(Form_Responses[[#This Row],[Depression Score ]]&lt;=4,"Minimal symptoms",IF(Form_Responses[[#This Row],[Depression Score ]]&lt;=9,"Mild Depression",IF(Form_Responses[[#This Row],[Depression Score ]]&lt;=14,"Moderate depression",IF(Form_Responses[[#This Row],[Depression Score ]]&lt;=19,"Moderately severe depression","Severe depression"))))</f>
        <v xml:space="preserve">Mild Depression</v>
      </c>
      <c r="AE15" s="3" t="s">
        <v>85</v>
      </c>
      <c r="AF15" s="4">
        <f>IF(AE15="Not at all",0,IF(AE15="Several days",1,IF(AE15="More than half the days",2,3)))</f>
        <v>0</v>
      </c>
      <c r="AG15" s="3" t="s">
        <v>86</v>
      </c>
      <c r="AH15" s="4">
        <f>IF(AG15="Not at all",0,IF(AG15="Several days",1,IF(AG15="More than half the days",2,3)))</f>
        <v>1</v>
      </c>
      <c r="AI15" s="3" t="s">
        <v>86</v>
      </c>
      <c r="AJ15" s="4">
        <f>IF(AI15="Not at all",0,IF(AI15="Several days",1,IF(AI15="More than half the days",2,3)))</f>
        <v>1</v>
      </c>
      <c r="AK15" s="3" t="s">
        <v>86</v>
      </c>
      <c r="AL15" s="4">
        <f>IF(AK15="Not at all",0,IF(AK15="Several days",1,IF(AK15="More than half the days",2,3)))</f>
        <v>1</v>
      </c>
      <c r="AM15" s="3" t="s">
        <v>87</v>
      </c>
      <c r="AN15" s="4">
        <f>IF(AM15="Not at all",0,IF(AM15="Several days",1,IF(AM15="More than half the days",2,3)))</f>
        <v>2</v>
      </c>
      <c r="AO15" s="3" t="s">
        <v>87</v>
      </c>
      <c r="AP15" s="4">
        <f>IF(AO15="Not at all",0,IF(AO15="Several days",1,IF(AO15="More than half the days",2,3)))</f>
        <v>2</v>
      </c>
      <c r="AQ15" s="3" t="s">
        <v>87</v>
      </c>
      <c r="AR15" s="4">
        <f>IF(AQ15="Not at all",0,IF(AQ15="Several days",1,IF(AQ15="More than half the days",2,3)))</f>
        <v>2</v>
      </c>
      <c r="AS15" s="4">
        <f>SUM(Form_Responses[[#This Row],[Score16]],Form_Responses[[#This Row],[Score10]],Form_Responses[[#This Row],[Score11]],Form_Responses[[#This Row],[Score12]],Form_Responses[[#This Row],[Score13]],Form_Responses[[#This Row],[Score14]],Form_Responses[[#This Row],[Score15]])</f>
        <v>9</v>
      </c>
      <c r="AT15" s="4" t="str">
        <f>IF(Form_Responses[[#This Row],[Anxiety Score]]&lt;=4,"Minimal anxiety",IF(Form_Responses[[#This Row],[Anxiety Score]]&lt;=9,"Mild anxiety",IF(Form_Responses[[#This Row],[Anxiety Score]]&lt;=14,"Moderate anxiety","Severe anxiety")))</f>
        <v xml:space="preserve">Mild anxiety</v>
      </c>
      <c r="AU15" s="3" t="s">
        <v>124</v>
      </c>
      <c r="AV15" s="4">
        <f>IF(Form_Responses[[#This Row],[1. In the last month, how often have you been upset because of unexpected situations related to academics, finances, or personal life?]]="Never",0,IF(Form_Responses[[#This Row],[1. In the last month, how often have you been upset because of unexpected situations related to academics, finances, or personal life?]]="Almost never",1,IF(Form_Responses[[#This Row],[1. In the last month, how often have you been upset because of unexpected situations related to academics, finances, or personal life?]]="Sometimes",2,IF(Form_Responses[[#This Row],[1. In the last month, how often have you been upset because of unexpected situations related to academics, finances, or personal life?]]="Fairly often",3,4))))</f>
        <v>0</v>
      </c>
      <c r="AW15" s="3" t="s">
        <v>90</v>
      </c>
      <c r="AX15" s="5">
        <f>IF(Form_Responses[[#This Row],[2. In the last month, how often have you felt unable to control important things in your academic or personal life?]]="Never",0,IF(Form_Responses[[#This Row],[2. In the last month, how often have you felt unable to control important things in your academic or personal life?]]="Almost never",1,IF(Form_Responses[[#This Row],[2. In the last month, how often have you felt unable to control important things in your academic or personal life?]]="Sometimes",2,IF(Form_Responses[[#This Row],[2. In the last month, how often have you felt unable to control important things in your academic or personal life?]]="Fairly often",3,4))))</f>
        <v>1</v>
      </c>
      <c r="AY15" s="3" t="s">
        <v>90</v>
      </c>
      <c r="AZ15" s="4">
        <f>IF(Form_Responses[[#This Row],[3. In the last month, how often have you felt nervous or stressed because of university responsibilities or personal challenges?]]="Never",0,IF(Form_Responses[[#This Row],[3. In the last month, how often have you felt nervous or stressed because of university responsibilities or personal challenges?]]="Almost never",1,IF(Form_Responses[[#This Row],[3. In the last month, how often have you felt nervous or stressed because of university responsibilities or personal challenges?]]="Sometimes",2,IF(Form_Responses[[#This Row],[3. In the last month, how often have you felt nervous or stressed because of university responsibilities or personal challenges?]]="Fairly often",3,4))))</f>
        <v>1</v>
      </c>
      <c r="BA15" s="3" t="s">
        <v>124</v>
      </c>
      <c r="BB15" s="4">
        <f>IF(Form_Responses[[#This Row],[4. In the last month, how often have you felt confident about your ability to handle academic or personal problems?]]="Never",4,IF(Form_Responses[[#This Row],[4. In the last month, how often have you felt confident about your ability to handle academic or personal problems?]]="Almost never",3,IF(Form_Responses[[#This Row],[4. In the last month, how often have you felt confident about your ability to handle academic or personal problems?]]="Sometimes",2,IF(Form_Responses[[#This Row],[4. In the last month, how often have you felt confident about your ability to handle academic or personal problems?]]="Fairly often",1,0))))</f>
        <v>4</v>
      </c>
      <c r="BC15" s="3" t="s">
        <v>89</v>
      </c>
      <c r="BD15" s="4">
        <f>IF(Form_Responses[[#This Row],[5. In the last month, how often have you felt that things were going well in your studies or personal life?]]="Never",4,IF(Form_Responses[[#This Row],[5. In the last month, how often have you felt that things were going well in your studies or personal life?]]="Almost never",3,IF(Form_Responses[[#This Row],[5. In the last month, how often have you felt that things were going well in your studies or personal life?]]="Sometimes",2,IF(Form_Responses[[#This Row],[5. In the last month, how often have you felt that things were going well in your studies or personal life?]]="Fairly often",1,0))))</f>
        <v>2</v>
      </c>
      <c r="BE15" s="3" t="s">
        <v>90</v>
      </c>
      <c r="BF15" s="4">
        <f>IF(Form_Responses[[#This Row],[6. In the last month, how often have you felt unable to cope with coursework, deadlines, or daily responsibilities?]]="Never",0,IF(Form_Responses[[#This Row],[6. In the last month, how often have you felt unable to cope with coursework, deadlines, or daily responsibilities?]]="Almost never",1,IF(Form_Responses[[#This Row],[6. In the last month, how often have you felt unable to cope with coursework, deadlines, or daily responsibilities?]]="Sometimes",2,IF(Form_Responses[[#This Row],[6. In the last month, how often have you felt unable to cope with coursework, deadlines, or daily responsibilities?]]="Fairly often",3,4))))</f>
        <v>1</v>
      </c>
      <c r="BG15" s="3" t="s">
        <v>124</v>
      </c>
      <c r="BH15" s="4">
        <f>IF(Form_Responses[[#This Row],[7. In the last month, how often have you been able to control irritations or frustrations in your life?]]="Never",4,IF(Form_Responses[[#This Row],[7. In the last month, how often have you been able to control irritations or frustrations in your life?]]="Almost never",3,IF(Form_Responses[[#This Row],[7. In the last month, how often have you been able to control irritations or frustrations in your life?]]="Sometimes",2,IF(Form_Responses[[#This Row],[7. In the last month, how often have you been able to control irritations or frustrations in your life?]]="Fairly often",1,0))))</f>
        <v>4</v>
      </c>
      <c r="BI15" s="3" t="s">
        <v>90</v>
      </c>
      <c r="BJ15" s="4">
        <f>IF(Form_Responses[[#This Row],[8. In the last month, how often have you felt that you were managing your academic and personal responsibilities well?]]="Never",4,IF(Form_Responses[[#This Row],[8. In the last month, how often have you felt that you were managing your academic and personal responsibilities well?]]="Almost never",3,IF(Form_Responses[[#This Row],[8. In the last month, how often have you felt that you were managing your academic and personal responsibilities well?]]="Sometimes",2,IF(Form_Responses[[#This Row],[8. In the last month, how often have you felt that you were managing your academic and personal responsibilities well?]]="Fairly often",1,0))))</f>
        <v>3</v>
      </c>
      <c r="BK15" s="3" t="s">
        <v>90</v>
      </c>
      <c r="BL15" s="5">
        <f>IF(Form_Responses[[#This Row],[9. In the last month, how often have you been angered or frustrated by situations outside your control, such as finances, academics, or relationships?]]="Never",0,IF(Form_Responses[[#This Row],[9. In the last month, how often have you been angered or frustrated by situations outside your control, such as finances, academics, or relationships?]]="Almost never",1,IF(Form_Responses[[#This Row],[9. In the last month, how often have you been angered or frustrated by situations outside your control, such as finances, academics, or relationships?]]="Sometimes",2,IF(Form_Responses[[#This Row],[9. In the last month, how often have you been angered or frustrated by situations outside your control, such as finances, academics, or relationships?]]="Fairly often",3,4))))</f>
        <v>1</v>
      </c>
      <c r="BM15" s="3" t="s">
        <v>90</v>
      </c>
      <c r="BN15" s="4">
        <f>IF(Form_Responses[[#This Row],[10. In the last month, how often have you felt that difficulties were piling up so much that you could not overcome them?]]="Never",0,IF(Form_Responses[[#This Row],[10. In the last month, how often have you felt that difficulties were piling up so much that you could not overcome them?]]="Almost never",1,IF(Form_Responses[[#This Row],[10. In the last month, how often have you felt that difficulties were piling up so much that you could not overcome them?]]="Sometimes",2,IF(Form_Responses[[#This Row],[10. In the last month, how often have you felt that difficulties were piling up so much that you could not overcome them?]]="Fairly often",3,4))))</f>
        <v>1</v>
      </c>
      <c r="BO15" s="4">
        <f>SUM(Form_Responses[[#This Row],[Score17]],Form_Responses[[#This Row],[Score18]],Form_Responses[[#This Row],[Score19]],Form_Responses[[#This Row],[Score20]],Form_Responses[[#This Row],[Score21]],Form_Responses[[#This Row],[Score22]],Form_Responses[[#This Row],[Score23]],Form_Responses[[#This Row],[Score24]],Form_Responses[[#This Row],[Score25]],Form_Responses[[#This Row],[Score26]])</f>
        <v>18</v>
      </c>
      <c r="BP15" s="4" t="str">
        <f>IF(Form_Responses[[#This Row],[Anxiety Score2]]&lt;=13,"Low stress",IF(Form_Responses[[#This Row],[Anxiety Score2]]&lt;=26,"Moderate stress","High stress"))</f>
        <v xml:space="preserve">Moderate stress</v>
      </c>
      <c r="BQ15" s="3" t="s">
        <v>76</v>
      </c>
      <c r="BR15" s="3" t="s">
        <v>91</v>
      </c>
      <c r="BS15" s="3" t="s">
        <v>174</v>
      </c>
      <c r="BT15" s="3" t="s">
        <v>108</v>
      </c>
      <c r="BU15" s="3" t="s">
        <v>91</v>
      </c>
      <c r="BV15" s="3" t="s">
        <v>180</v>
      </c>
      <c r="BW15" s="3" t="s">
        <v>181</v>
      </c>
      <c r="BX15" s="3" t="s">
        <v>182</v>
      </c>
    </row>
    <row r="16" ht="22.5" customHeight="1">
      <c r="A16" s="2">
        <v>46192.365628055559</v>
      </c>
      <c r="B16" s="3" t="s">
        <v>76</v>
      </c>
      <c r="C16" s="3" t="s">
        <v>77</v>
      </c>
      <c r="D16" s="3" t="s">
        <v>112</v>
      </c>
      <c r="E16" s="3" t="s">
        <v>98</v>
      </c>
      <c r="F16" s="3" t="s">
        <v>183</v>
      </c>
      <c r="G16" s="3" t="s">
        <v>81</v>
      </c>
      <c r="H16" s="3" t="s">
        <v>101</v>
      </c>
      <c r="I16" s="3" t="s">
        <v>114</v>
      </c>
      <c r="J16" s="3" t="s">
        <v>84</v>
      </c>
      <c r="K16" s="3" t="s">
        <v>87</v>
      </c>
      <c r="L16" s="4">
        <f>IF(K16="Not at all",0,IF(K16="Several days",1,IF(K16="More than half the days",2,3)))</f>
        <v>2</v>
      </c>
      <c r="M16" s="3" t="s">
        <v>104</v>
      </c>
      <c r="N16" s="4">
        <f>IF(M16="Not at all",0,IF(M16="Several days",1,IF(M16="More than half the days",2,3)))</f>
        <v>3</v>
      </c>
      <c r="O16" s="3" t="s">
        <v>85</v>
      </c>
      <c r="P16" s="5">
        <f>IF(O16="Not at all",0,IF(O16="Several days",1,IF(O16="More than half the days",2,3)))</f>
        <v>0</v>
      </c>
      <c r="Q16" s="3" t="s">
        <v>85</v>
      </c>
      <c r="R16" s="4">
        <f>IF(Q16="Not at all",0,IF(Q16="Several days",1,IF(Q16="More than half the days",2,3)))</f>
        <v>0</v>
      </c>
      <c r="S16" s="3" t="s">
        <v>85</v>
      </c>
      <c r="T16" s="4">
        <f>IF(S16="Not at all",0,IF(S16="Several days",1,IF(S16="More than half the days",2,3)))</f>
        <v>0</v>
      </c>
      <c r="U16" s="3" t="s">
        <v>87</v>
      </c>
      <c r="V16" s="4">
        <f>IF(U16="Not at all",0,IF(U16="Several days",1,IF(U16="More than half the days",2,3)))</f>
        <v>2</v>
      </c>
      <c r="W16" s="3" t="s">
        <v>85</v>
      </c>
      <c r="X16" s="4">
        <f>IF(W16="Not at all",0,IF(W16="Several days",1,IF(W16="More than half the days",2,3)))</f>
        <v>0</v>
      </c>
      <c r="Y16" s="3" t="s">
        <v>85</v>
      </c>
      <c r="Z16" s="4">
        <f>IF(Y16="Not at all",0,IF(Y16="Several days",1,IF(Y16="More than half the days",2,3)))</f>
        <v>0</v>
      </c>
      <c r="AA16" s="3" t="s">
        <v>85</v>
      </c>
      <c r="AB16" s="4">
        <f>IF(AA16="Not at all",0,IF(AA16="Several days",1,IF(AA16="More than half the days",2,3)))</f>
        <v>0</v>
      </c>
      <c r="AC16" s="4">
        <f>SUM(Form_Responses[[#This Row],[Score]],Form_Responses[[#This Row],[Score2]],Form_Responses[[#This Row],[Score3]],Form_Responses[[#This Row],[Score4]],Form_Responses[[#This Row],[Score5]],Form_Responses[[#This Row],[Score6]],Form_Responses[[#This Row],[Score7]],Form_Responses[[#This Row],[Score8]],Form_Responses[[#This Row],[Score9]])</f>
        <v>7</v>
      </c>
      <c r="AD16" s="4" t="str">
        <f>IF(Form_Responses[[#This Row],[Depression Score ]]&lt;=4,"Minimal symptoms",IF(Form_Responses[[#This Row],[Depression Score ]]&lt;=9,"Mild Depression",IF(Form_Responses[[#This Row],[Depression Score ]]&lt;=14,"Moderate depression",IF(Form_Responses[[#This Row],[Depression Score ]]&lt;=19,"Moderately severe depression","Severe depression"))))</f>
        <v xml:space="preserve">Mild Depression</v>
      </c>
      <c r="AE16" s="3" t="s">
        <v>86</v>
      </c>
      <c r="AF16" s="4">
        <f>IF(AE16="Not at all",0,IF(AE16="Several days",1,IF(AE16="More than half the days",2,3)))</f>
        <v>1</v>
      </c>
      <c r="AG16" s="3" t="s">
        <v>86</v>
      </c>
      <c r="AH16" s="4">
        <f>IF(AG16="Not at all",0,IF(AG16="Several days",1,IF(AG16="More than half the days",2,3)))</f>
        <v>1</v>
      </c>
      <c r="AI16" s="3" t="s">
        <v>86</v>
      </c>
      <c r="AJ16" s="4">
        <f>IF(AI16="Not at all",0,IF(AI16="Several days",1,IF(AI16="More than half the days",2,3)))</f>
        <v>1</v>
      </c>
      <c r="AK16" s="3" t="s">
        <v>86</v>
      </c>
      <c r="AL16" s="4">
        <f>IF(AK16="Not at all",0,IF(AK16="Several days",1,IF(AK16="More than half the days",2,3)))</f>
        <v>1</v>
      </c>
      <c r="AM16" s="3" t="s">
        <v>85</v>
      </c>
      <c r="AN16" s="4">
        <f>IF(AM16="Not at all",0,IF(AM16="Several days",1,IF(AM16="More than half the days",2,3)))</f>
        <v>0</v>
      </c>
      <c r="AO16" s="3" t="s">
        <v>86</v>
      </c>
      <c r="AP16" s="4">
        <f>IF(AO16="Not at all",0,IF(AO16="Several days",1,IF(AO16="More than half the days",2,3)))</f>
        <v>1</v>
      </c>
      <c r="AQ16" s="3" t="s">
        <v>85</v>
      </c>
      <c r="AR16" s="4">
        <f>IF(AQ16="Not at all",0,IF(AQ16="Several days",1,IF(AQ16="More than half the days",2,3)))</f>
        <v>0</v>
      </c>
      <c r="AS16" s="4">
        <f>SUM(Form_Responses[[#This Row],[Score16]],Form_Responses[[#This Row],[Score10]],Form_Responses[[#This Row],[Score11]],Form_Responses[[#This Row],[Score12]],Form_Responses[[#This Row],[Score13]],Form_Responses[[#This Row],[Score14]],Form_Responses[[#This Row],[Score15]])</f>
        <v>5</v>
      </c>
      <c r="AT16" s="4" t="str">
        <f>IF(Form_Responses[[#This Row],[Anxiety Score]]&lt;=4,"Minimal anxiety",IF(Form_Responses[[#This Row],[Anxiety Score]]&lt;=9,"Mild anxiety",IF(Form_Responses[[#This Row],[Anxiety Score]]&lt;=14,"Moderate anxiety","Severe anxiety")))</f>
        <v xml:space="preserve">Mild anxiety</v>
      </c>
      <c r="AU16" s="3" t="s">
        <v>105</v>
      </c>
      <c r="AV16" s="4">
        <f>IF(Form_Responses[[#This Row],[1. In the last month, how often have you been upset because of unexpected situations related to academics, finances, or personal life?]]="Never",0,IF(Form_Responses[[#This Row],[1. In the last month, how often have you been upset because of unexpected situations related to academics, finances, or personal life?]]="Almost never",1,IF(Form_Responses[[#This Row],[1. In the last month, how often have you been upset because of unexpected situations related to academics, finances, or personal life?]]="Sometimes",2,IF(Form_Responses[[#This Row],[1. In the last month, how often have you been upset because of unexpected situations related to academics, finances, or personal life?]]="Fairly often",3,4))))</f>
        <v>4</v>
      </c>
      <c r="AW16" s="3" t="s">
        <v>105</v>
      </c>
      <c r="AX16" s="5">
        <f>IF(Form_Responses[[#This Row],[2. In the last month, how often have you felt unable to control important things in your academic or personal life?]]="Never",0,IF(Form_Responses[[#This Row],[2. In the last month, how often have you felt unable to control important things in your academic or personal life?]]="Almost never",1,IF(Form_Responses[[#This Row],[2. In the last month, how often have you felt unable to control important things in your academic or personal life?]]="Sometimes",2,IF(Form_Responses[[#This Row],[2. In the last month, how often have you felt unable to control important things in your academic or personal life?]]="Fairly often",3,4))))</f>
        <v>4</v>
      </c>
      <c r="AY16" s="3" t="s">
        <v>88</v>
      </c>
      <c r="AZ16" s="4">
        <f>IF(Form_Responses[[#This Row],[3. In the last month, how often have you felt nervous or stressed because of university responsibilities or personal challenges?]]="Never",0,IF(Form_Responses[[#This Row],[3. In the last month, how often have you felt nervous or stressed because of university responsibilities or personal challenges?]]="Almost never",1,IF(Form_Responses[[#This Row],[3. In the last month, how often have you felt nervous or stressed because of university responsibilities or personal challenges?]]="Sometimes",2,IF(Form_Responses[[#This Row],[3. In the last month, how often have you felt nervous or stressed because of university responsibilities or personal challenges?]]="Fairly often",3,4))))</f>
        <v>3</v>
      </c>
      <c r="BA16" s="3" t="s">
        <v>105</v>
      </c>
      <c r="BB16" s="4">
        <f>IF(Form_Responses[[#This Row],[4. In the last month, how often have you felt confident about your ability to handle academic or personal problems?]]="Never",4,IF(Form_Responses[[#This Row],[4. In the last month, how often have you felt confident about your ability to handle academic or personal problems?]]="Almost never",3,IF(Form_Responses[[#This Row],[4. In the last month, how often have you felt confident about your ability to handle academic or personal problems?]]="Sometimes",2,IF(Form_Responses[[#This Row],[4. In the last month, how often have you felt confident about your ability to handle academic or personal problems?]]="Fairly often",1,0))))</f>
        <v>0</v>
      </c>
      <c r="BC16" s="3" t="s">
        <v>89</v>
      </c>
      <c r="BD16" s="4">
        <f>IF(Form_Responses[[#This Row],[5. In the last month, how often have you felt that things were going well in your studies or personal life?]]="Never",4,IF(Form_Responses[[#This Row],[5. In the last month, how often have you felt that things were going well in your studies or personal life?]]="Almost never",3,IF(Form_Responses[[#This Row],[5. In the last month, how often have you felt that things were going well in your studies or personal life?]]="Sometimes",2,IF(Form_Responses[[#This Row],[5. In the last month, how often have you felt that things were going well in your studies or personal life?]]="Fairly often",1,0))))</f>
        <v>2</v>
      </c>
      <c r="BE16" s="3" t="s">
        <v>124</v>
      </c>
      <c r="BF16" s="4">
        <f>IF(Form_Responses[[#This Row],[6. In the last month, how often have you felt unable to cope with coursework, deadlines, or daily responsibilities?]]="Never",0,IF(Form_Responses[[#This Row],[6. In the last month, how often have you felt unable to cope with coursework, deadlines, or daily responsibilities?]]="Almost never",1,IF(Form_Responses[[#This Row],[6. In the last month, how often have you felt unable to cope with coursework, deadlines, or daily responsibilities?]]="Sometimes",2,IF(Form_Responses[[#This Row],[6. In the last month, how often have you felt unable to cope with coursework, deadlines, or daily responsibilities?]]="Fairly often",3,4))))</f>
        <v>0</v>
      </c>
      <c r="BG16" s="3" t="s">
        <v>88</v>
      </c>
      <c r="BH16" s="4">
        <f>IF(Form_Responses[[#This Row],[7. In the last month, how often have you been able to control irritations or frustrations in your life?]]="Never",4,IF(Form_Responses[[#This Row],[7. In the last month, how often have you been able to control irritations or frustrations in your life?]]="Almost never",3,IF(Form_Responses[[#This Row],[7. In the last month, how often have you been able to control irritations or frustrations in your life?]]="Sometimes",2,IF(Form_Responses[[#This Row],[7. In the last month, how often have you been able to control irritations or frustrations in your life?]]="Fairly often",1,0))))</f>
        <v>1</v>
      </c>
      <c r="BI16" s="3" t="s">
        <v>88</v>
      </c>
      <c r="BJ16" s="4">
        <f>IF(Form_Responses[[#This Row],[8. In the last month, how often have you felt that you were managing your academic and personal responsibilities well?]]="Never",4,IF(Form_Responses[[#This Row],[8. In the last month, how often have you felt that you were managing your academic and personal responsibilities well?]]="Almost never",3,IF(Form_Responses[[#This Row],[8. In the last month, how often have you felt that you were managing your academic and personal responsibilities well?]]="Sometimes",2,IF(Form_Responses[[#This Row],[8. In the last month, how often have you felt that you were managing your academic and personal responsibilities well?]]="Fairly often",1,0))))</f>
        <v>1</v>
      </c>
      <c r="BK16" s="3" t="s">
        <v>105</v>
      </c>
      <c r="BL16" s="5">
        <f>IF(Form_Responses[[#This Row],[9. In the last month, how often have you been angered or frustrated by situations outside your control, such as finances, academics, or relationships?]]="Never",0,IF(Form_Responses[[#This Row],[9. In the last month, how often have you been angered or frustrated by situations outside your control, such as finances, academics, or relationships?]]="Almost never",1,IF(Form_Responses[[#This Row],[9. In the last month, how often have you been angered or frustrated by situations outside your control, such as finances, academics, or relationships?]]="Sometimes",2,IF(Form_Responses[[#This Row],[9. In the last month, how often have you been angered or frustrated by situations outside your control, such as finances, academics, or relationships?]]="Fairly often",3,4))))</f>
        <v>4</v>
      </c>
      <c r="BM16" s="3" t="s">
        <v>105</v>
      </c>
      <c r="BN16" s="4">
        <f>IF(Form_Responses[[#This Row],[10. In the last month, how often have you felt that difficulties were piling up so much that you could not overcome them?]]="Never",0,IF(Form_Responses[[#This Row],[10. In the last month, how often have you felt that difficulties were piling up so much that you could not overcome them?]]="Almost never",1,IF(Form_Responses[[#This Row],[10. In the last month, how often have you felt that difficulties were piling up so much that you could not overcome them?]]="Sometimes",2,IF(Form_Responses[[#This Row],[10. In the last month, how often have you felt that difficulties were piling up so much that you could not overcome them?]]="Fairly often",3,4))))</f>
        <v>4</v>
      </c>
      <c r="BO16" s="4">
        <f>SUM(Form_Responses[[#This Row],[Score17]],Form_Responses[[#This Row],[Score18]],Form_Responses[[#This Row],[Score19]],Form_Responses[[#This Row],[Score20]],Form_Responses[[#This Row],[Score21]],Form_Responses[[#This Row],[Score22]],Form_Responses[[#This Row],[Score23]],Form_Responses[[#This Row],[Score24]],Form_Responses[[#This Row],[Score25]],Form_Responses[[#This Row],[Score26]])</f>
        <v>23</v>
      </c>
      <c r="BP16" s="4" t="str">
        <f>IF(Form_Responses[[#This Row],[Anxiety Score2]]&lt;=13,"Low stress",IF(Form_Responses[[#This Row],[Anxiety Score2]]&lt;=26,"Moderate stress","High stress"))</f>
        <v xml:space="preserve">Moderate stress</v>
      </c>
      <c r="BQ16" s="3" t="s">
        <v>91</v>
      </c>
      <c r="BR16" s="3" t="s">
        <v>76</v>
      </c>
      <c r="BS16" s="3" t="s">
        <v>184</v>
      </c>
      <c r="BT16" s="3" t="s">
        <v>185</v>
      </c>
      <c r="BU16" s="3" t="s">
        <v>76</v>
      </c>
      <c r="BV16" s="3" t="s">
        <v>186</v>
      </c>
      <c r="BW16" s="3" t="s">
        <v>187</v>
      </c>
      <c r="BX16" s="3" t="s">
        <v>188</v>
      </c>
    </row>
    <row r="17" ht="22.5" customHeight="1">
      <c r="A17" s="2">
        <v>46192.37632387731</v>
      </c>
      <c r="B17" s="3" t="s">
        <v>76</v>
      </c>
      <c r="C17" s="3" t="s">
        <v>77</v>
      </c>
      <c r="D17" s="3" t="s">
        <v>112</v>
      </c>
      <c r="E17" s="3" t="s">
        <v>79</v>
      </c>
      <c r="F17" s="3" t="s">
        <v>130</v>
      </c>
      <c r="G17" s="3" t="s">
        <v>131</v>
      </c>
      <c r="H17" s="3" t="s">
        <v>82</v>
      </c>
      <c r="I17" s="3" t="s">
        <v>114</v>
      </c>
      <c r="J17" s="3" t="s">
        <v>84</v>
      </c>
      <c r="K17" s="3" t="s">
        <v>87</v>
      </c>
      <c r="L17" s="4">
        <f>IF(K17="Not at all",0,IF(K17="Several days",1,IF(K17="More than half the days",2,3)))</f>
        <v>2</v>
      </c>
      <c r="M17" s="3" t="s">
        <v>86</v>
      </c>
      <c r="N17" s="4">
        <f>IF(M17="Not at all",0,IF(M17="Several days",1,IF(M17="More than half the days",2,3)))</f>
        <v>1</v>
      </c>
      <c r="O17" s="3" t="s">
        <v>85</v>
      </c>
      <c r="P17" s="5">
        <f>IF(O17="Not at all",0,IF(O17="Several days",1,IF(O17="More than half the days",2,3)))</f>
        <v>0</v>
      </c>
      <c r="Q17" s="3" t="s">
        <v>86</v>
      </c>
      <c r="R17" s="4">
        <f>IF(Q17="Not at all",0,IF(Q17="Several days",1,IF(Q17="More than half the days",2,3)))</f>
        <v>1</v>
      </c>
      <c r="S17" s="3" t="s">
        <v>86</v>
      </c>
      <c r="T17" s="4">
        <f>IF(S17="Not at all",0,IF(S17="Several days",1,IF(S17="More than half the days",2,3)))</f>
        <v>1</v>
      </c>
      <c r="U17" s="3" t="s">
        <v>85</v>
      </c>
      <c r="V17" s="4">
        <f>IF(U17="Not at all",0,IF(U17="Several days",1,IF(U17="More than half the days",2,3)))</f>
        <v>0</v>
      </c>
      <c r="W17" s="3" t="s">
        <v>85</v>
      </c>
      <c r="X17" s="4">
        <f>IF(W17="Not at all",0,IF(W17="Several days",1,IF(W17="More than half the days",2,3)))</f>
        <v>0</v>
      </c>
      <c r="Y17" s="3" t="s">
        <v>85</v>
      </c>
      <c r="Z17" s="4">
        <f>IF(Y17="Not at all",0,IF(Y17="Several days",1,IF(Y17="More than half the days",2,3)))</f>
        <v>0</v>
      </c>
      <c r="AA17" s="3" t="s">
        <v>85</v>
      </c>
      <c r="AB17" s="4">
        <f>IF(AA17="Not at all",0,IF(AA17="Several days",1,IF(AA17="More than half the days",2,3)))</f>
        <v>0</v>
      </c>
      <c r="AC17" s="4">
        <f>SUM(Form_Responses[[#This Row],[Score]],Form_Responses[[#This Row],[Score2]],Form_Responses[[#This Row],[Score3]],Form_Responses[[#This Row],[Score4]],Form_Responses[[#This Row],[Score5]],Form_Responses[[#This Row],[Score6]],Form_Responses[[#This Row],[Score7]],Form_Responses[[#This Row],[Score8]],Form_Responses[[#This Row],[Score9]])</f>
        <v>5</v>
      </c>
      <c r="AD17" s="4" t="str">
        <f>IF(Form_Responses[[#This Row],[Depression Score ]]&lt;=4,"Minimal symptoms",IF(Form_Responses[[#This Row],[Depression Score ]]&lt;=9,"Mild Depression",IF(Form_Responses[[#This Row],[Depression Score ]]&lt;=14,"Moderate depression",IF(Form_Responses[[#This Row],[Depression Score ]]&lt;=19,"Moderately severe depression","Severe depression"))))</f>
        <v xml:space="preserve">Mild Depression</v>
      </c>
      <c r="AE17" s="3" t="s">
        <v>86</v>
      </c>
      <c r="AF17" s="4">
        <f>IF(AE17="Not at all",0,IF(AE17="Several days",1,IF(AE17="More than half the days",2,3)))</f>
        <v>1</v>
      </c>
      <c r="AG17" s="3" t="s">
        <v>86</v>
      </c>
      <c r="AH17" s="4">
        <f>IF(AG17="Not at all",0,IF(AG17="Several days",1,IF(AG17="More than half the days",2,3)))</f>
        <v>1</v>
      </c>
      <c r="AI17" s="3" t="s">
        <v>86</v>
      </c>
      <c r="AJ17" s="4">
        <f>IF(AI17="Not at all",0,IF(AI17="Several days",1,IF(AI17="More than half the days",2,3)))</f>
        <v>1</v>
      </c>
      <c r="AK17" s="3" t="s">
        <v>86</v>
      </c>
      <c r="AL17" s="4">
        <f>IF(AK17="Not at all",0,IF(AK17="Several days",1,IF(AK17="More than half the days",2,3)))</f>
        <v>1</v>
      </c>
      <c r="AM17" s="3" t="s">
        <v>86</v>
      </c>
      <c r="AN17" s="4">
        <f>IF(AM17="Not at all",0,IF(AM17="Several days",1,IF(AM17="More than half the days",2,3)))</f>
        <v>1</v>
      </c>
      <c r="AO17" s="3" t="s">
        <v>86</v>
      </c>
      <c r="AP17" s="4">
        <f>IF(AO17="Not at all",0,IF(AO17="Several days",1,IF(AO17="More than half the days",2,3)))</f>
        <v>1</v>
      </c>
      <c r="AQ17" s="3" t="s">
        <v>86</v>
      </c>
      <c r="AR17" s="4">
        <f>IF(AQ17="Not at all",0,IF(AQ17="Several days",1,IF(AQ17="More than half the days",2,3)))</f>
        <v>1</v>
      </c>
      <c r="AS17" s="4">
        <f>SUM(Form_Responses[[#This Row],[Score16]],Form_Responses[[#This Row],[Score10]],Form_Responses[[#This Row],[Score11]],Form_Responses[[#This Row],[Score12]],Form_Responses[[#This Row],[Score13]],Form_Responses[[#This Row],[Score14]],Form_Responses[[#This Row],[Score15]])</f>
        <v>7</v>
      </c>
      <c r="AT17" s="4" t="str">
        <f>IF(Form_Responses[[#This Row],[Anxiety Score]]&lt;=4,"Minimal anxiety",IF(Form_Responses[[#This Row],[Anxiety Score]]&lt;=9,"Mild anxiety",IF(Form_Responses[[#This Row],[Anxiety Score]]&lt;=14,"Moderate anxiety","Severe anxiety")))</f>
        <v xml:space="preserve">Mild anxiety</v>
      </c>
      <c r="AU17" s="3" t="s">
        <v>105</v>
      </c>
      <c r="AV17" s="4">
        <f>IF(Form_Responses[[#This Row],[1. In the last month, how often have you been upset because of unexpected situations related to academics, finances, or personal life?]]="Never",0,IF(Form_Responses[[#This Row],[1. In the last month, how often have you been upset because of unexpected situations related to academics, finances, or personal life?]]="Almost never",1,IF(Form_Responses[[#This Row],[1. In the last month, how often have you been upset because of unexpected situations related to academics, finances, or personal life?]]="Sometimes",2,IF(Form_Responses[[#This Row],[1. In the last month, how often have you been upset because of unexpected situations related to academics, finances, or personal life?]]="Fairly often",3,4))))</f>
        <v>4</v>
      </c>
      <c r="AW17" s="3" t="s">
        <v>89</v>
      </c>
      <c r="AX17" s="5">
        <f>IF(Form_Responses[[#This Row],[2. In the last month, how often have you felt unable to control important things in your academic or personal life?]]="Never",0,IF(Form_Responses[[#This Row],[2. In the last month, how often have you felt unable to control important things in your academic or personal life?]]="Almost never",1,IF(Form_Responses[[#This Row],[2. In the last month, how often have you felt unable to control important things in your academic or personal life?]]="Sometimes",2,IF(Form_Responses[[#This Row],[2. In the last month, how often have you felt unable to control important things in your academic or personal life?]]="Fairly often",3,4))))</f>
        <v>2</v>
      </c>
      <c r="AY17" s="3" t="s">
        <v>89</v>
      </c>
      <c r="AZ17" s="4">
        <f>IF(Form_Responses[[#This Row],[3. In the last month, how often have you felt nervous or stressed because of university responsibilities or personal challenges?]]="Never",0,IF(Form_Responses[[#This Row],[3. In the last month, how often have you felt nervous or stressed because of university responsibilities or personal challenges?]]="Almost never",1,IF(Form_Responses[[#This Row],[3. In the last month, how often have you felt nervous or stressed because of university responsibilities or personal challenges?]]="Sometimes",2,IF(Form_Responses[[#This Row],[3. In the last month, how often have you felt nervous or stressed because of university responsibilities or personal challenges?]]="Fairly often",3,4))))</f>
        <v>2</v>
      </c>
      <c r="BA17" s="3" t="s">
        <v>89</v>
      </c>
      <c r="BB17" s="4">
        <f>IF(Form_Responses[[#This Row],[4. In the last month, how often have you felt confident about your ability to handle academic or personal problems?]]="Never",4,IF(Form_Responses[[#This Row],[4. In the last month, how often have you felt confident about your ability to handle academic or personal problems?]]="Almost never",3,IF(Form_Responses[[#This Row],[4. In the last month, how often have you felt confident about your ability to handle academic or personal problems?]]="Sometimes",2,IF(Form_Responses[[#This Row],[4. In the last month, how often have you felt confident about your ability to handle academic or personal problems?]]="Fairly often",1,0))))</f>
        <v>2</v>
      </c>
      <c r="BC17" s="3" t="s">
        <v>105</v>
      </c>
      <c r="BD17" s="4">
        <f>IF(Form_Responses[[#This Row],[5. In the last month, how often have you felt that things were going well in your studies or personal life?]]="Never",4,IF(Form_Responses[[#This Row],[5. In the last month, how often have you felt that things were going well in your studies or personal life?]]="Almost never",3,IF(Form_Responses[[#This Row],[5. In the last month, how often have you felt that things were going well in your studies or personal life?]]="Sometimes",2,IF(Form_Responses[[#This Row],[5. In the last month, how often have you felt that things were going well in your studies or personal life?]]="Fairly often",1,0))))</f>
        <v>0</v>
      </c>
      <c r="BE17" s="3" t="s">
        <v>89</v>
      </c>
      <c r="BF17" s="4">
        <f>IF(Form_Responses[[#This Row],[6. In the last month, how often have you felt unable to cope with coursework, deadlines, or daily responsibilities?]]="Never",0,IF(Form_Responses[[#This Row],[6. In the last month, how often have you felt unable to cope with coursework, deadlines, or daily responsibilities?]]="Almost never",1,IF(Form_Responses[[#This Row],[6. In the last month, how often have you felt unable to cope with coursework, deadlines, or daily responsibilities?]]="Sometimes",2,IF(Form_Responses[[#This Row],[6. In the last month, how often have you felt unable to cope with coursework, deadlines, or daily responsibilities?]]="Fairly often",3,4))))</f>
        <v>2</v>
      </c>
      <c r="BG17" s="3" t="s">
        <v>90</v>
      </c>
      <c r="BH17" s="4">
        <f>IF(Form_Responses[[#This Row],[7. In the last month, how often have you been able to control irritations or frustrations in your life?]]="Never",4,IF(Form_Responses[[#This Row],[7. In the last month, how often have you been able to control irritations or frustrations in your life?]]="Almost never",3,IF(Form_Responses[[#This Row],[7. In the last month, how often have you been able to control irritations or frustrations in your life?]]="Sometimes",2,IF(Form_Responses[[#This Row],[7. In the last month, how often have you been able to control irritations or frustrations in your life?]]="Fairly often",1,0))))</f>
        <v>3</v>
      </c>
      <c r="BI17" s="3" t="s">
        <v>88</v>
      </c>
      <c r="BJ17" s="4">
        <f>IF(Form_Responses[[#This Row],[8. In the last month, how often have you felt that you were managing your academic and personal responsibilities well?]]="Never",4,IF(Form_Responses[[#This Row],[8. In the last month, how often have you felt that you were managing your academic and personal responsibilities well?]]="Almost never",3,IF(Form_Responses[[#This Row],[8. In the last month, how often have you felt that you were managing your academic and personal responsibilities well?]]="Sometimes",2,IF(Form_Responses[[#This Row],[8. In the last month, how often have you felt that you were managing your academic and personal responsibilities well?]]="Fairly often",1,0))))</f>
        <v>1</v>
      </c>
      <c r="BK17" s="3" t="s">
        <v>105</v>
      </c>
      <c r="BL17" s="5">
        <f>IF(Form_Responses[[#This Row],[9. In the last month, how often have you been angered or frustrated by situations outside your control, such as finances, academics, or relationships?]]="Never",0,IF(Form_Responses[[#This Row],[9. In the last month, how often have you been angered or frustrated by situations outside your control, such as finances, academics, or relationships?]]="Almost never",1,IF(Form_Responses[[#This Row],[9. In the last month, how often have you been angered or frustrated by situations outside your control, such as finances, academics, or relationships?]]="Sometimes",2,IF(Form_Responses[[#This Row],[9. In the last month, how often have you been angered or frustrated by situations outside your control, such as finances, academics, or relationships?]]="Fairly often",3,4))))</f>
        <v>4</v>
      </c>
      <c r="BM17" s="3" t="s">
        <v>88</v>
      </c>
      <c r="BN17" s="4">
        <f>IF(Form_Responses[[#This Row],[10. In the last month, how often have you felt that difficulties were piling up so much that you could not overcome them?]]="Never",0,IF(Form_Responses[[#This Row],[10. In the last month, how often have you felt that difficulties were piling up so much that you could not overcome them?]]="Almost never",1,IF(Form_Responses[[#This Row],[10. In the last month, how often have you felt that difficulties were piling up so much that you could not overcome them?]]="Sometimes",2,IF(Form_Responses[[#This Row],[10. In the last month, how often have you felt that difficulties were piling up so much that you could not overcome them?]]="Fairly often",3,4))))</f>
        <v>3</v>
      </c>
      <c r="BO17" s="4">
        <f>SUM(Form_Responses[[#This Row],[Score17]],Form_Responses[[#This Row],[Score18]],Form_Responses[[#This Row],[Score19]],Form_Responses[[#This Row],[Score20]],Form_Responses[[#This Row],[Score21]],Form_Responses[[#This Row],[Score22]],Form_Responses[[#This Row],[Score23]],Form_Responses[[#This Row],[Score24]],Form_Responses[[#This Row],[Score25]],Form_Responses[[#This Row],[Score26]])</f>
        <v>23</v>
      </c>
      <c r="BP17" s="4" t="str">
        <f>IF(Form_Responses[[#This Row],[Anxiety Score2]]&lt;=13,"Low stress",IF(Form_Responses[[#This Row],[Anxiety Score2]]&lt;=26,"Moderate stress","High stress"))</f>
        <v xml:space="preserve">Moderate stress</v>
      </c>
      <c r="BQ17" s="3" t="s">
        <v>91</v>
      </c>
      <c r="BR17" s="3" t="s">
        <v>91</v>
      </c>
      <c r="BS17" s="3" t="s">
        <v>161</v>
      </c>
      <c r="BT17" s="3" t="s">
        <v>189</v>
      </c>
      <c r="BU17" s="3" t="s">
        <v>91</v>
      </c>
      <c r="BV17" s="3" t="s">
        <v>190</v>
      </c>
      <c r="BW17" s="3" t="s">
        <v>191</v>
      </c>
      <c r="BX17" s="3" t="s">
        <v>192</v>
      </c>
    </row>
    <row r="18" ht="22.5" customHeight="1">
      <c r="A18" s="2">
        <v>46192.393258206022</v>
      </c>
      <c r="B18" s="3" t="s">
        <v>76</v>
      </c>
      <c r="C18" s="3" t="s">
        <v>154</v>
      </c>
      <c r="D18" s="3" t="s">
        <v>78</v>
      </c>
      <c r="E18" s="3" t="s">
        <v>79</v>
      </c>
      <c r="F18" s="3" t="s">
        <v>130</v>
      </c>
      <c r="G18" s="3" t="s">
        <v>131</v>
      </c>
      <c r="H18" s="3" t="s">
        <v>101</v>
      </c>
      <c r="I18" s="3" t="s">
        <v>114</v>
      </c>
      <c r="J18" s="3" t="s">
        <v>84</v>
      </c>
      <c r="K18" s="3" t="s">
        <v>86</v>
      </c>
      <c r="L18" s="4">
        <f>IF(K18="Not at all",0,IF(K18="Several days",1,IF(K18="More than half the days",2,3)))</f>
        <v>1</v>
      </c>
      <c r="M18" s="3" t="s">
        <v>85</v>
      </c>
      <c r="N18" s="4">
        <f>IF(M18="Not at all",0,IF(M18="Several days",1,IF(M18="More than half the days",2,3)))</f>
        <v>0</v>
      </c>
      <c r="O18" s="3" t="s">
        <v>86</v>
      </c>
      <c r="P18" s="5">
        <f>IF(O18="Not at all",0,IF(O18="Several days",1,IF(O18="More than half the days",2,3)))</f>
        <v>1</v>
      </c>
      <c r="Q18" s="3" t="s">
        <v>86</v>
      </c>
      <c r="R18" s="4">
        <f>IF(Q18="Not at all",0,IF(Q18="Several days",1,IF(Q18="More than half the days",2,3)))</f>
        <v>1</v>
      </c>
      <c r="S18" s="3" t="s">
        <v>86</v>
      </c>
      <c r="T18" s="4">
        <f>IF(S18="Not at all",0,IF(S18="Several days",1,IF(S18="More than half the days",2,3)))</f>
        <v>1</v>
      </c>
      <c r="U18" s="3" t="s">
        <v>86</v>
      </c>
      <c r="V18" s="4">
        <f>IF(U18="Not at all",0,IF(U18="Several days",1,IF(U18="More than half the days",2,3)))</f>
        <v>1</v>
      </c>
      <c r="W18" s="3" t="s">
        <v>104</v>
      </c>
      <c r="X18" s="4">
        <f>IF(W18="Not at all",0,IF(W18="Several days",1,IF(W18="More than half the days",2,3)))</f>
        <v>3</v>
      </c>
      <c r="Y18" s="3" t="s">
        <v>87</v>
      </c>
      <c r="Z18" s="4">
        <f>IF(Y18="Not at all",0,IF(Y18="Several days",1,IF(Y18="More than half the days",2,3)))</f>
        <v>2</v>
      </c>
      <c r="AA18" s="3" t="s">
        <v>85</v>
      </c>
      <c r="AB18" s="4">
        <f>IF(AA18="Not at all",0,IF(AA18="Several days",1,IF(AA18="More than half the days",2,3)))</f>
        <v>0</v>
      </c>
      <c r="AC18" s="4">
        <f>SUM(Form_Responses[[#This Row],[Score]],Form_Responses[[#This Row],[Score2]],Form_Responses[[#This Row],[Score3]],Form_Responses[[#This Row],[Score4]],Form_Responses[[#This Row],[Score5]],Form_Responses[[#This Row],[Score6]],Form_Responses[[#This Row],[Score7]],Form_Responses[[#This Row],[Score8]],Form_Responses[[#This Row],[Score9]])</f>
        <v>10</v>
      </c>
      <c r="AD18" s="4" t="str">
        <f>IF(Form_Responses[[#This Row],[Depression Score ]]&lt;=4,"Minimal symptoms",IF(Form_Responses[[#This Row],[Depression Score ]]&lt;=9,"Mild Depression",IF(Form_Responses[[#This Row],[Depression Score ]]&lt;=14,"Moderate depression",IF(Form_Responses[[#This Row],[Depression Score ]]&lt;=19,"Moderately severe depression","Severe depression"))))</f>
        <v xml:space="preserve">Moderate depression</v>
      </c>
      <c r="AE18" s="3" t="s">
        <v>85</v>
      </c>
      <c r="AF18" s="4">
        <f>IF(AE18="Not at all",0,IF(AE18="Several days",1,IF(AE18="More than half the days",2,3)))</f>
        <v>0</v>
      </c>
      <c r="AG18" s="3" t="s">
        <v>85</v>
      </c>
      <c r="AH18" s="4">
        <f>IF(AG18="Not at all",0,IF(AG18="Several days",1,IF(AG18="More than half the days",2,3)))</f>
        <v>0</v>
      </c>
      <c r="AI18" s="3" t="s">
        <v>104</v>
      </c>
      <c r="AJ18" s="4">
        <f>IF(AI18="Not at all",0,IF(AI18="Several days",1,IF(AI18="More than half the days",2,3)))</f>
        <v>3</v>
      </c>
      <c r="AK18" s="3" t="s">
        <v>104</v>
      </c>
      <c r="AL18" s="4">
        <f>IF(AK18="Not at all",0,IF(AK18="Several days",1,IF(AK18="More than half the days",2,3)))</f>
        <v>3</v>
      </c>
      <c r="AM18" s="3" t="s">
        <v>87</v>
      </c>
      <c r="AN18" s="4">
        <f>IF(AM18="Not at all",0,IF(AM18="Several days",1,IF(AM18="More than half the days",2,3)))</f>
        <v>2</v>
      </c>
      <c r="AO18" s="3" t="s">
        <v>86</v>
      </c>
      <c r="AP18" s="4">
        <f>IF(AO18="Not at all",0,IF(AO18="Several days",1,IF(AO18="More than half the days",2,3)))</f>
        <v>1</v>
      </c>
      <c r="AQ18" s="3" t="s">
        <v>86</v>
      </c>
      <c r="AR18" s="4">
        <f>IF(AQ18="Not at all",0,IF(AQ18="Several days",1,IF(AQ18="More than half the days",2,3)))</f>
        <v>1</v>
      </c>
      <c r="AS18" s="4">
        <f>SUM(Form_Responses[[#This Row],[Score16]],Form_Responses[[#This Row],[Score10]],Form_Responses[[#This Row],[Score11]],Form_Responses[[#This Row],[Score12]],Form_Responses[[#This Row],[Score13]],Form_Responses[[#This Row],[Score14]],Form_Responses[[#This Row],[Score15]])</f>
        <v>10</v>
      </c>
      <c r="AT18" s="4" t="str">
        <f>IF(Form_Responses[[#This Row],[Anxiety Score]]&lt;=4,"Minimal anxiety",IF(Form_Responses[[#This Row],[Anxiety Score]]&lt;=9,"Mild anxiety",IF(Form_Responses[[#This Row],[Anxiety Score]]&lt;=14,"Moderate anxiety","Severe anxiety")))</f>
        <v xml:space="preserve">Moderate anxiety</v>
      </c>
      <c r="AU18" s="3" t="s">
        <v>88</v>
      </c>
      <c r="AV18" s="4">
        <f>IF(Form_Responses[[#This Row],[1. In the last month, how often have you been upset because of unexpected situations related to academics, finances, or personal life?]]="Never",0,IF(Form_Responses[[#This Row],[1. In the last month, how often have you been upset because of unexpected situations related to academics, finances, or personal life?]]="Almost never",1,IF(Form_Responses[[#This Row],[1. In the last month, how often have you been upset because of unexpected situations related to academics, finances, or personal life?]]="Sometimes",2,IF(Form_Responses[[#This Row],[1. In the last month, how often have you been upset because of unexpected situations related to academics, finances, or personal life?]]="Fairly often",3,4))))</f>
        <v>3</v>
      </c>
      <c r="AW18" s="3" t="s">
        <v>88</v>
      </c>
      <c r="AX18" s="5">
        <f>IF(Form_Responses[[#This Row],[2. In the last month, how often have you felt unable to control important things in your academic or personal life?]]="Never",0,IF(Form_Responses[[#This Row],[2. In the last month, how often have you felt unable to control important things in your academic or personal life?]]="Almost never",1,IF(Form_Responses[[#This Row],[2. In the last month, how often have you felt unable to control important things in your academic or personal life?]]="Sometimes",2,IF(Form_Responses[[#This Row],[2. In the last month, how often have you felt unable to control important things in your academic or personal life?]]="Fairly often",3,4))))</f>
        <v>3</v>
      </c>
      <c r="AY18" s="3" t="s">
        <v>88</v>
      </c>
      <c r="AZ18" s="4">
        <f>IF(Form_Responses[[#This Row],[3. In the last month, how often have you felt nervous or stressed because of university responsibilities or personal challenges?]]="Never",0,IF(Form_Responses[[#This Row],[3. In the last month, how often have you felt nervous or stressed because of university responsibilities or personal challenges?]]="Almost never",1,IF(Form_Responses[[#This Row],[3. In the last month, how often have you felt nervous or stressed because of university responsibilities or personal challenges?]]="Sometimes",2,IF(Form_Responses[[#This Row],[3. In the last month, how often have you felt nervous or stressed because of university responsibilities or personal challenges?]]="Fairly often",3,4))))</f>
        <v>3</v>
      </c>
      <c r="BA18" s="3" t="s">
        <v>89</v>
      </c>
      <c r="BB18" s="4">
        <f>IF(Form_Responses[[#This Row],[4. In the last month, how often have you felt confident about your ability to handle academic or personal problems?]]="Never",4,IF(Form_Responses[[#This Row],[4. In the last month, how often have you felt confident about your ability to handle academic or personal problems?]]="Almost never",3,IF(Form_Responses[[#This Row],[4. In the last month, how often have you felt confident about your ability to handle academic or personal problems?]]="Sometimes",2,IF(Form_Responses[[#This Row],[4. In the last month, how often have you felt confident about your ability to handle academic or personal problems?]]="Fairly often",1,0))))</f>
        <v>2</v>
      </c>
      <c r="BC18" s="3" t="s">
        <v>90</v>
      </c>
      <c r="BD18" s="4">
        <f>IF(Form_Responses[[#This Row],[5. In the last month, how often have you felt that things were going well in your studies or personal life?]]="Never",4,IF(Form_Responses[[#This Row],[5. In the last month, how often have you felt that things were going well in your studies or personal life?]]="Almost never",3,IF(Form_Responses[[#This Row],[5. In the last month, how often have you felt that things were going well in your studies or personal life?]]="Sometimes",2,IF(Form_Responses[[#This Row],[5. In the last month, how often have you felt that things were going well in your studies or personal life?]]="Fairly often",1,0))))</f>
        <v>3</v>
      </c>
      <c r="BE18" s="3" t="s">
        <v>89</v>
      </c>
      <c r="BF18" s="4">
        <f>IF(Form_Responses[[#This Row],[6. In the last month, how often have you felt unable to cope with coursework, deadlines, or daily responsibilities?]]="Never",0,IF(Form_Responses[[#This Row],[6. In the last month, how often have you felt unable to cope with coursework, deadlines, or daily responsibilities?]]="Almost never",1,IF(Form_Responses[[#This Row],[6. In the last month, how often have you felt unable to cope with coursework, deadlines, or daily responsibilities?]]="Sometimes",2,IF(Form_Responses[[#This Row],[6. In the last month, how often have you felt unable to cope with coursework, deadlines, or daily responsibilities?]]="Fairly often",3,4))))</f>
        <v>2</v>
      </c>
      <c r="BG18" s="3" t="s">
        <v>89</v>
      </c>
      <c r="BH18" s="4">
        <f>IF(Form_Responses[[#This Row],[7. In the last month, how often have you been able to control irritations or frustrations in your life?]]="Never",4,IF(Form_Responses[[#This Row],[7. In the last month, how often have you been able to control irritations or frustrations in your life?]]="Almost never",3,IF(Form_Responses[[#This Row],[7. In the last month, how often have you been able to control irritations or frustrations in your life?]]="Sometimes",2,IF(Form_Responses[[#This Row],[7. In the last month, how often have you been able to control irritations or frustrations in your life?]]="Fairly often",1,0))))</f>
        <v>2</v>
      </c>
      <c r="BI18" s="3" t="s">
        <v>90</v>
      </c>
      <c r="BJ18" s="4">
        <f>IF(Form_Responses[[#This Row],[8. In the last month, how often have you felt that you were managing your academic and personal responsibilities well?]]="Never",4,IF(Form_Responses[[#This Row],[8. In the last month, how often have you felt that you were managing your academic and personal responsibilities well?]]="Almost never",3,IF(Form_Responses[[#This Row],[8. In the last month, how often have you felt that you were managing your academic and personal responsibilities well?]]="Sometimes",2,IF(Form_Responses[[#This Row],[8. In the last month, how often have you felt that you were managing your academic and personal responsibilities well?]]="Fairly often",1,0))))</f>
        <v>3</v>
      </c>
      <c r="BK18" s="3" t="s">
        <v>88</v>
      </c>
      <c r="BL18" s="5">
        <f>IF(Form_Responses[[#This Row],[9. In the last month, how often have you been angered or frustrated by situations outside your control, such as finances, academics, or relationships?]]="Never",0,IF(Form_Responses[[#This Row],[9. In the last month, how often have you been angered or frustrated by situations outside your control, such as finances, academics, or relationships?]]="Almost never",1,IF(Form_Responses[[#This Row],[9. In the last month, how often have you been angered or frustrated by situations outside your control, such as finances, academics, or relationships?]]="Sometimes",2,IF(Form_Responses[[#This Row],[9. In the last month, how often have you been angered or frustrated by situations outside your control, such as finances, academics, or relationships?]]="Fairly often",3,4))))</f>
        <v>3</v>
      </c>
      <c r="BM18" s="3" t="s">
        <v>88</v>
      </c>
      <c r="BN18" s="4">
        <f>IF(Form_Responses[[#This Row],[10. In the last month, how often have you felt that difficulties were piling up so much that you could not overcome them?]]="Never",0,IF(Form_Responses[[#This Row],[10. In the last month, how often have you felt that difficulties were piling up so much that you could not overcome them?]]="Almost never",1,IF(Form_Responses[[#This Row],[10. In the last month, how often have you felt that difficulties were piling up so much that you could not overcome them?]]="Sometimes",2,IF(Form_Responses[[#This Row],[10. In the last month, how often have you felt that difficulties were piling up so much that you could not overcome them?]]="Fairly often",3,4))))</f>
        <v>3</v>
      </c>
      <c r="BO18" s="4">
        <f>SUM(Form_Responses[[#This Row],[Score17]],Form_Responses[[#This Row],[Score18]],Form_Responses[[#This Row],[Score19]],Form_Responses[[#This Row],[Score20]],Form_Responses[[#This Row],[Score21]],Form_Responses[[#This Row],[Score22]],Form_Responses[[#This Row],[Score23]],Form_Responses[[#This Row],[Score24]],Form_Responses[[#This Row],[Score25]],Form_Responses[[#This Row],[Score26]])</f>
        <v>27</v>
      </c>
      <c r="BP18" s="4" t="str">
        <f>IF(Form_Responses[[#This Row],[Anxiety Score2]]&lt;=13,"Low stress",IF(Form_Responses[[#This Row],[Anxiety Score2]]&lt;=26,"Moderate stress","High stress"))</f>
        <v xml:space="preserve">High stress</v>
      </c>
      <c r="BQ18" s="3" t="s">
        <v>91</v>
      </c>
      <c r="BR18" s="3" t="s">
        <v>76</v>
      </c>
      <c r="BS18" s="3" t="s">
        <v>193</v>
      </c>
      <c r="BT18" s="3" t="s">
        <v>194</v>
      </c>
      <c r="BU18" s="3" t="s">
        <v>106</v>
      </c>
      <c r="BV18" s="3" t="s">
        <v>195</v>
      </c>
      <c r="BW18" s="3" t="s">
        <v>105</v>
      </c>
      <c r="BX18" s="3" t="s">
        <v>196</v>
      </c>
    </row>
    <row r="19" ht="22.5" customHeight="1">
      <c r="A19" s="2">
        <v>46192.548111562501</v>
      </c>
      <c r="B19" s="3" t="s">
        <v>76</v>
      </c>
      <c r="C19" s="3" t="s">
        <v>77</v>
      </c>
      <c r="D19" s="3" t="s">
        <v>112</v>
      </c>
      <c r="E19" s="3" t="s">
        <v>197</v>
      </c>
      <c r="F19" s="3" t="s">
        <v>198</v>
      </c>
      <c r="G19" s="3" t="s">
        <v>131</v>
      </c>
      <c r="H19" s="3" t="s">
        <v>101</v>
      </c>
      <c r="I19" s="3" t="s">
        <v>83</v>
      </c>
      <c r="J19" s="3" t="s">
        <v>84</v>
      </c>
      <c r="K19" s="3" t="s">
        <v>86</v>
      </c>
      <c r="L19" s="4">
        <f>IF(K19="Not at all",0,IF(K19="Several days",1,IF(K19="More than half the days",2,3)))</f>
        <v>1</v>
      </c>
      <c r="M19" s="3" t="s">
        <v>85</v>
      </c>
      <c r="N19" s="4">
        <f>IF(M19="Not at all",0,IF(M19="Several days",1,IF(M19="More than half the days",2,3)))</f>
        <v>0</v>
      </c>
      <c r="O19" s="3" t="s">
        <v>85</v>
      </c>
      <c r="P19" s="5">
        <f>IF(O19="Not at all",0,IF(O19="Several days",1,IF(O19="More than half the days",2,3)))</f>
        <v>0</v>
      </c>
      <c r="Q19" s="3" t="s">
        <v>85</v>
      </c>
      <c r="R19" s="4">
        <f>IF(Q19="Not at all",0,IF(Q19="Several days",1,IF(Q19="More than half the days",2,3)))</f>
        <v>0</v>
      </c>
      <c r="S19" s="3" t="s">
        <v>85</v>
      </c>
      <c r="T19" s="4">
        <f>IF(S19="Not at all",0,IF(S19="Several days",1,IF(S19="More than half the days",2,3)))</f>
        <v>0</v>
      </c>
      <c r="U19" s="3" t="s">
        <v>85</v>
      </c>
      <c r="V19" s="4">
        <f>IF(U19="Not at all",0,IF(U19="Several days",1,IF(U19="More than half the days",2,3)))</f>
        <v>0</v>
      </c>
      <c r="W19" s="3" t="s">
        <v>86</v>
      </c>
      <c r="X19" s="4">
        <f>IF(W19="Not at all",0,IF(W19="Several days",1,IF(W19="More than half the days",2,3)))</f>
        <v>1</v>
      </c>
      <c r="Y19" s="3" t="s">
        <v>104</v>
      </c>
      <c r="Z19" s="4">
        <f>IF(Y19="Not at all",0,IF(Y19="Several days",1,IF(Y19="More than half the days",2,3)))</f>
        <v>3</v>
      </c>
      <c r="AA19" s="3" t="s">
        <v>85</v>
      </c>
      <c r="AB19" s="4">
        <f>IF(AA19="Not at all",0,IF(AA19="Several days",1,IF(AA19="More than half the days",2,3)))</f>
        <v>0</v>
      </c>
      <c r="AC19" s="4">
        <f>SUM(Form_Responses[[#This Row],[Score]],Form_Responses[[#This Row],[Score2]],Form_Responses[[#This Row],[Score3]],Form_Responses[[#This Row],[Score4]],Form_Responses[[#This Row],[Score5]],Form_Responses[[#This Row],[Score6]],Form_Responses[[#This Row],[Score7]],Form_Responses[[#This Row],[Score8]],Form_Responses[[#This Row],[Score9]])</f>
        <v>5</v>
      </c>
      <c r="AD19" s="4" t="str">
        <f>IF(Form_Responses[[#This Row],[Depression Score ]]&lt;=4,"Minimal symptoms",IF(Form_Responses[[#This Row],[Depression Score ]]&lt;=9,"Mild Depression",IF(Form_Responses[[#This Row],[Depression Score ]]&lt;=14,"Moderate depression",IF(Form_Responses[[#This Row],[Depression Score ]]&lt;=19,"Moderately severe depression","Severe depression"))))</f>
        <v xml:space="preserve">Mild Depression</v>
      </c>
      <c r="AE19" s="3" t="s">
        <v>85</v>
      </c>
      <c r="AF19" s="4">
        <f>IF(AE19="Not at all",0,IF(AE19="Several days",1,IF(AE19="More than half the days",2,3)))</f>
        <v>0</v>
      </c>
      <c r="AG19" s="3" t="s">
        <v>85</v>
      </c>
      <c r="AH19" s="4">
        <f>IF(AG19="Not at all",0,IF(AG19="Several days",1,IF(AG19="More than half the days",2,3)))</f>
        <v>0</v>
      </c>
      <c r="AI19" s="3" t="s">
        <v>86</v>
      </c>
      <c r="AJ19" s="4">
        <f>IF(AI19="Not at all",0,IF(AI19="Several days",1,IF(AI19="More than half the days",2,3)))</f>
        <v>1</v>
      </c>
      <c r="AK19" s="3" t="s">
        <v>85</v>
      </c>
      <c r="AL19" s="4">
        <f>IF(AK19="Not at all",0,IF(AK19="Several days",1,IF(AK19="More than half the days",2,3)))</f>
        <v>0</v>
      </c>
      <c r="AM19" s="3" t="s">
        <v>87</v>
      </c>
      <c r="AN19" s="4">
        <f>IF(AM19="Not at all",0,IF(AM19="Several days",1,IF(AM19="More than half the days",2,3)))</f>
        <v>2</v>
      </c>
      <c r="AO19" s="3" t="s">
        <v>87</v>
      </c>
      <c r="AP19" s="4">
        <f>IF(AO19="Not at all",0,IF(AO19="Several days",1,IF(AO19="More than half the days",2,3)))</f>
        <v>2</v>
      </c>
      <c r="AQ19" s="3" t="s">
        <v>85</v>
      </c>
      <c r="AR19" s="4">
        <f>IF(AQ19="Not at all",0,IF(AQ19="Several days",1,IF(AQ19="More than half the days",2,3)))</f>
        <v>0</v>
      </c>
      <c r="AS19" s="4">
        <f>SUM(Form_Responses[[#This Row],[Score16]],Form_Responses[[#This Row],[Score10]],Form_Responses[[#This Row],[Score11]],Form_Responses[[#This Row],[Score12]],Form_Responses[[#This Row],[Score13]],Form_Responses[[#This Row],[Score14]],Form_Responses[[#This Row],[Score15]])</f>
        <v>5</v>
      </c>
      <c r="AT19" s="4" t="str">
        <f>IF(Form_Responses[[#This Row],[Anxiety Score]]&lt;=4,"Minimal anxiety",IF(Form_Responses[[#This Row],[Anxiety Score]]&lt;=9,"Mild anxiety",IF(Form_Responses[[#This Row],[Anxiety Score]]&lt;=14,"Moderate anxiety","Severe anxiety")))</f>
        <v xml:space="preserve">Mild anxiety</v>
      </c>
      <c r="AU19" s="3" t="s">
        <v>89</v>
      </c>
      <c r="AV19" s="4">
        <f>IF(Form_Responses[[#This Row],[1. In the last month, how often have you been upset because of unexpected situations related to academics, finances, or personal life?]]="Never",0,IF(Form_Responses[[#This Row],[1. In the last month, how often have you been upset because of unexpected situations related to academics, finances, or personal life?]]="Almost never",1,IF(Form_Responses[[#This Row],[1. In the last month, how often have you been upset because of unexpected situations related to academics, finances, or personal life?]]="Sometimes",2,IF(Form_Responses[[#This Row],[1. In the last month, how often have you been upset because of unexpected situations related to academics, finances, or personal life?]]="Fairly often",3,4))))</f>
        <v>2</v>
      </c>
      <c r="AW19" s="3" t="s">
        <v>124</v>
      </c>
      <c r="AX19" s="5">
        <f>IF(Form_Responses[[#This Row],[2. In the last month, how often have you felt unable to control important things in your academic or personal life?]]="Never",0,IF(Form_Responses[[#This Row],[2. In the last month, how often have you felt unable to control important things in your academic or personal life?]]="Almost never",1,IF(Form_Responses[[#This Row],[2. In the last month, how often have you felt unable to control important things in your academic or personal life?]]="Sometimes",2,IF(Form_Responses[[#This Row],[2. In the last month, how often have you felt unable to control important things in your academic or personal life?]]="Fairly often",3,4))))</f>
        <v>0</v>
      </c>
      <c r="AY19" s="3" t="s">
        <v>124</v>
      </c>
      <c r="AZ19" s="4">
        <f>IF(Form_Responses[[#This Row],[3. In the last month, how often have you felt nervous or stressed because of university responsibilities or personal challenges?]]="Never",0,IF(Form_Responses[[#This Row],[3. In the last month, how often have you felt nervous or stressed because of university responsibilities or personal challenges?]]="Almost never",1,IF(Form_Responses[[#This Row],[3. In the last month, how often have you felt nervous or stressed because of university responsibilities or personal challenges?]]="Sometimes",2,IF(Form_Responses[[#This Row],[3. In the last month, how often have you felt nervous or stressed because of university responsibilities or personal challenges?]]="Fairly often",3,4))))</f>
        <v>0</v>
      </c>
      <c r="BA19" s="3" t="s">
        <v>105</v>
      </c>
      <c r="BB19" s="4">
        <f>IF(Form_Responses[[#This Row],[4. In the last month, how often have you felt confident about your ability to handle academic or personal problems?]]="Never",4,IF(Form_Responses[[#This Row],[4. In the last month, how often have you felt confident about your ability to handle academic or personal problems?]]="Almost never",3,IF(Form_Responses[[#This Row],[4. In the last month, how often have you felt confident about your ability to handle academic or personal problems?]]="Sometimes",2,IF(Form_Responses[[#This Row],[4. In the last month, how often have you felt confident about your ability to handle academic or personal problems?]]="Fairly often",1,0))))</f>
        <v>0</v>
      </c>
      <c r="BC19" s="3" t="s">
        <v>88</v>
      </c>
      <c r="BD19" s="4">
        <f>IF(Form_Responses[[#This Row],[5. In the last month, how often have you felt that things were going well in your studies or personal life?]]="Never",4,IF(Form_Responses[[#This Row],[5. In the last month, how often have you felt that things were going well in your studies or personal life?]]="Almost never",3,IF(Form_Responses[[#This Row],[5. In the last month, how often have you felt that things were going well in your studies or personal life?]]="Sometimes",2,IF(Form_Responses[[#This Row],[5. In the last month, how often have you felt that things were going well in your studies or personal life?]]="Fairly often",1,0))))</f>
        <v>1</v>
      </c>
      <c r="BE19" s="3" t="s">
        <v>105</v>
      </c>
      <c r="BF19" s="4">
        <f>IF(Form_Responses[[#This Row],[6. In the last month, how often have you felt unable to cope with coursework, deadlines, or daily responsibilities?]]="Never",0,IF(Form_Responses[[#This Row],[6. In the last month, how often have you felt unable to cope with coursework, deadlines, or daily responsibilities?]]="Almost never",1,IF(Form_Responses[[#This Row],[6. In the last month, how often have you felt unable to cope with coursework, deadlines, or daily responsibilities?]]="Sometimes",2,IF(Form_Responses[[#This Row],[6. In the last month, how often have you felt unable to cope with coursework, deadlines, or daily responsibilities?]]="Fairly often",3,4))))</f>
        <v>4</v>
      </c>
      <c r="BG19" s="3" t="s">
        <v>89</v>
      </c>
      <c r="BH19" s="4">
        <f>IF(Form_Responses[[#This Row],[7. In the last month, how often have you been able to control irritations or frustrations in your life?]]="Never",4,IF(Form_Responses[[#This Row],[7. In the last month, how often have you been able to control irritations or frustrations in your life?]]="Almost never",3,IF(Form_Responses[[#This Row],[7. In the last month, how often have you been able to control irritations or frustrations in your life?]]="Sometimes",2,IF(Form_Responses[[#This Row],[7. In the last month, how often have you been able to control irritations or frustrations in your life?]]="Fairly often",1,0))))</f>
        <v>2</v>
      </c>
      <c r="BI19" s="3" t="s">
        <v>88</v>
      </c>
      <c r="BJ19" s="4">
        <f>IF(Form_Responses[[#This Row],[8. In the last month, how often have you felt that you were managing your academic and personal responsibilities well?]]="Never",4,IF(Form_Responses[[#This Row],[8. In the last month, how often have you felt that you were managing your academic and personal responsibilities well?]]="Almost never",3,IF(Form_Responses[[#This Row],[8. In the last month, how often have you felt that you were managing your academic and personal responsibilities well?]]="Sometimes",2,IF(Form_Responses[[#This Row],[8. In the last month, how often have you felt that you were managing your academic and personal responsibilities well?]]="Fairly often",1,0))))</f>
        <v>1</v>
      </c>
      <c r="BK19" s="3" t="s">
        <v>89</v>
      </c>
      <c r="BL19" s="5">
        <f>IF(Form_Responses[[#This Row],[9. In the last month, how often have you been angered or frustrated by situations outside your control, such as finances, academics, or relationships?]]="Never",0,IF(Form_Responses[[#This Row],[9. In the last month, how often have you been angered or frustrated by situations outside your control, such as finances, academics, or relationships?]]="Almost never",1,IF(Form_Responses[[#This Row],[9. In the last month, how often have you been angered or frustrated by situations outside your control, such as finances, academics, or relationships?]]="Sometimes",2,IF(Form_Responses[[#This Row],[9. In the last month, how often have you been angered or frustrated by situations outside your control, such as finances, academics, or relationships?]]="Fairly often",3,4))))</f>
        <v>2</v>
      </c>
      <c r="BM19" s="3" t="s">
        <v>90</v>
      </c>
      <c r="BN19" s="4">
        <f>IF(Form_Responses[[#This Row],[10. In the last month, how often have you felt that difficulties were piling up so much that you could not overcome them?]]="Never",0,IF(Form_Responses[[#This Row],[10. In the last month, how often have you felt that difficulties were piling up so much that you could not overcome them?]]="Almost never",1,IF(Form_Responses[[#This Row],[10. In the last month, how often have you felt that difficulties were piling up so much that you could not overcome them?]]="Sometimes",2,IF(Form_Responses[[#This Row],[10. In the last month, how often have you felt that difficulties were piling up so much that you could not overcome them?]]="Fairly often",3,4))))</f>
        <v>1</v>
      </c>
      <c r="BO19" s="4">
        <f>SUM(Form_Responses[[#This Row],[Score17]],Form_Responses[[#This Row],[Score18]],Form_Responses[[#This Row],[Score19]],Form_Responses[[#This Row],[Score20]],Form_Responses[[#This Row],[Score21]],Form_Responses[[#This Row],[Score22]],Form_Responses[[#This Row],[Score23]],Form_Responses[[#This Row],[Score24]],Form_Responses[[#This Row],[Score25]],Form_Responses[[#This Row],[Score26]])</f>
        <v>13</v>
      </c>
      <c r="BP19" s="4" t="str">
        <f>IF(Form_Responses[[#This Row],[Anxiety Score2]]&lt;=13,"Low stress",IF(Form_Responses[[#This Row],[Anxiety Score2]]&lt;=26,"Moderate stress","High stress"))</f>
        <v xml:space="preserve">Low stress</v>
      </c>
      <c r="BQ19" s="3" t="s">
        <v>76</v>
      </c>
      <c r="BR19" s="3" t="s">
        <v>106</v>
      </c>
      <c r="BS19" s="3" t="s">
        <v>174</v>
      </c>
      <c r="BT19" s="3" t="s">
        <v>108</v>
      </c>
      <c r="BU19" s="3" t="s">
        <v>76</v>
      </c>
      <c r="BV19" s="3" t="s">
        <v>199</v>
      </c>
      <c r="BW19" s="3" t="s">
        <v>200</v>
      </c>
      <c r="BX19" s="3" t="s">
        <v>201</v>
      </c>
    </row>
    <row r="20" ht="22.5" customHeight="1">
      <c r="A20" s="2">
        <v>46192.69692771991</v>
      </c>
      <c r="B20" s="3" t="s">
        <v>76</v>
      </c>
      <c r="C20" s="3" t="s">
        <v>77</v>
      </c>
      <c r="D20" s="3" t="s">
        <v>112</v>
      </c>
      <c r="E20" s="3" t="s">
        <v>98</v>
      </c>
      <c r="F20" s="3" t="s">
        <v>202</v>
      </c>
      <c r="G20" s="3" t="s">
        <v>131</v>
      </c>
      <c r="H20" s="3" t="s">
        <v>82</v>
      </c>
      <c r="I20" s="3" t="s">
        <v>114</v>
      </c>
      <c r="J20" s="3" t="s">
        <v>84</v>
      </c>
      <c r="K20" s="3" t="s">
        <v>86</v>
      </c>
      <c r="L20" s="4">
        <f>IF(K20="Not at all",0,IF(K20="Several days",1,IF(K20="More than half the days",2,3)))</f>
        <v>1</v>
      </c>
      <c r="M20" s="3" t="s">
        <v>85</v>
      </c>
      <c r="N20" s="4">
        <f>IF(M20="Not at all",0,IF(M20="Several days",1,IF(M20="More than half the days",2,3)))</f>
        <v>0</v>
      </c>
      <c r="O20" s="3" t="s">
        <v>85</v>
      </c>
      <c r="P20" s="5">
        <f>IF(O20="Not at all",0,IF(O20="Several days",1,IF(O20="More than half the days",2,3)))</f>
        <v>0</v>
      </c>
      <c r="Q20" s="3" t="s">
        <v>86</v>
      </c>
      <c r="R20" s="4">
        <f>IF(Q20="Not at all",0,IF(Q20="Several days",1,IF(Q20="More than half the days",2,3)))</f>
        <v>1</v>
      </c>
      <c r="S20" s="3" t="s">
        <v>85</v>
      </c>
      <c r="T20" s="4">
        <f>IF(S20="Not at all",0,IF(S20="Several days",1,IF(S20="More than half the days",2,3)))</f>
        <v>0</v>
      </c>
      <c r="U20" s="3" t="s">
        <v>85</v>
      </c>
      <c r="V20" s="4">
        <f>IF(U20="Not at all",0,IF(U20="Several days",1,IF(U20="More than half the days",2,3)))</f>
        <v>0</v>
      </c>
      <c r="W20" s="3" t="s">
        <v>86</v>
      </c>
      <c r="X20" s="4">
        <f>IF(W20="Not at all",0,IF(W20="Several days",1,IF(W20="More than half the days",2,3)))</f>
        <v>1</v>
      </c>
      <c r="Y20" s="3" t="s">
        <v>85</v>
      </c>
      <c r="Z20" s="4">
        <f>IF(Y20="Not at all",0,IF(Y20="Several days",1,IF(Y20="More than half the days",2,3)))</f>
        <v>0</v>
      </c>
      <c r="AA20" s="3" t="s">
        <v>85</v>
      </c>
      <c r="AB20" s="4">
        <f>IF(AA20="Not at all",0,IF(AA20="Several days",1,IF(AA20="More than half the days",2,3)))</f>
        <v>0</v>
      </c>
      <c r="AC20" s="4">
        <f>SUM(Form_Responses[[#This Row],[Score]],Form_Responses[[#This Row],[Score2]],Form_Responses[[#This Row],[Score3]],Form_Responses[[#This Row],[Score4]],Form_Responses[[#This Row],[Score5]],Form_Responses[[#This Row],[Score6]],Form_Responses[[#This Row],[Score7]],Form_Responses[[#This Row],[Score8]],Form_Responses[[#This Row],[Score9]])</f>
        <v>3</v>
      </c>
      <c r="AD20" s="4" t="str">
        <f>IF(Form_Responses[[#This Row],[Depression Score ]]&lt;=4,"Minimal symptoms",IF(Form_Responses[[#This Row],[Depression Score ]]&lt;=9,"Mild Depression",IF(Form_Responses[[#This Row],[Depression Score ]]&lt;=14,"Moderate depression",IF(Form_Responses[[#This Row],[Depression Score ]]&lt;=19,"Moderately severe depression","Severe depression"))))</f>
        <v xml:space="preserve">Minimal symptoms</v>
      </c>
      <c r="AE20" s="3" t="s">
        <v>85</v>
      </c>
      <c r="AF20" s="4">
        <f>IF(AE20="Not at all",0,IF(AE20="Several days",1,IF(AE20="More than half the days",2,3)))</f>
        <v>0</v>
      </c>
      <c r="AG20" s="3" t="s">
        <v>86</v>
      </c>
      <c r="AH20" s="4">
        <f>IF(AG20="Not at all",0,IF(AG20="Several days",1,IF(AG20="More than half the days",2,3)))</f>
        <v>1</v>
      </c>
      <c r="AI20" s="3" t="s">
        <v>86</v>
      </c>
      <c r="AJ20" s="4">
        <f>IF(AI20="Not at all",0,IF(AI20="Several days",1,IF(AI20="More than half the days",2,3)))</f>
        <v>1</v>
      </c>
      <c r="AK20" s="3" t="s">
        <v>86</v>
      </c>
      <c r="AL20" s="4">
        <f>IF(AK20="Not at all",0,IF(AK20="Several days",1,IF(AK20="More than half the days",2,3)))</f>
        <v>1</v>
      </c>
      <c r="AM20" s="3" t="s">
        <v>85</v>
      </c>
      <c r="AN20" s="4">
        <f>IF(AM20="Not at all",0,IF(AM20="Several days",1,IF(AM20="More than half the days",2,3)))</f>
        <v>0</v>
      </c>
      <c r="AO20" s="3" t="s">
        <v>85</v>
      </c>
      <c r="AP20" s="4">
        <f>IF(AO20="Not at all",0,IF(AO20="Several days",1,IF(AO20="More than half the days",2,3)))</f>
        <v>0</v>
      </c>
      <c r="AQ20" s="3" t="s">
        <v>85</v>
      </c>
      <c r="AR20" s="4">
        <f>IF(AQ20="Not at all",0,IF(AQ20="Several days",1,IF(AQ20="More than half the days",2,3)))</f>
        <v>0</v>
      </c>
      <c r="AS20" s="4">
        <f>SUM(Form_Responses[[#This Row],[Score16]],Form_Responses[[#This Row],[Score10]],Form_Responses[[#This Row],[Score11]],Form_Responses[[#This Row],[Score12]],Form_Responses[[#This Row],[Score13]],Form_Responses[[#This Row],[Score14]],Form_Responses[[#This Row],[Score15]])</f>
        <v>3</v>
      </c>
      <c r="AT20" s="4" t="str">
        <f>IF(Form_Responses[[#This Row],[Anxiety Score]]&lt;=4,"Minimal anxiety",IF(Form_Responses[[#This Row],[Anxiety Score]]&lt;=9,"Mild anxiety",IF(Form_Responses[[#This Row],[Anxiety Score]]&lt;=14,"Moderate anxiety","Severe anxiety")))</f>
        <v xml:space="preserve">Minimal anxiety</v>
      </c>
      <c r="AU20" s="3" t="s">
        <v>88</v>
      </c>
      <c r="AV20" s="4">
        <f>IF(Form_Responses[[#This Row],[1. In the last month, how often have you been upset because of unexpected situations related to academics, finances, or personal life?]]="Never",0,IF(Form_Responses[[#This Row],[1. In the last month, how often have you been upset because of unexpected situations related to academics, finances, or personal life?]]="Almost never",1,IF(Form_Responses[[#This Row],[1. In the last month, how often have you been upset because of unexpected situations related to academics, finances, or personal life?]]="Sometimes",2,IF(Form_Responses[[#This Row],[1. In the last month, how often have you been upset because of unexpected situations related to academics, finances, or personal life?]]="Fairly often",3,4))))</f>
        <v>3</v>
      </c>
      <c r="AW20" s="3" t="s">
        <v>124</v>
      </c>
      <c r="AX20" s="5">
        <f>IF(Form_Responses[[#This Row],[2. In the last month, how often have you felt unable to control important things in your academic or personal life?]]="Never",0,IF(Form_Responses[[#This Row],[2. In the last month, how often have you felt unable to control important things in your academic or personal life?]]="Almost never",1,IF(Form_Responses[[#This Row],[2. In the last month, how often have you felt unable to control important things in your academic or personal life?]]="Sometimes",2,IF(Form_Responses[[#This Row],[2. In the last month, how often have you felt unable to control important things in your academic or personal life?]]="Fairly often",3,4))))</f>
        <v>0</v>
      </c>
      <c r="AY20" s="3" t="s">
        <v>88</v>
      </c>
      <c r="AZ20" s="4">
        <f>IF(Form_Responses[[#This Row],[3. In the last month, how often have you felt nervous or stressed because of university responsibilities or personal challenges?]]="Never",0,IF(Form_Responses[[#This Row],[3. In the last month, how often have you felt nervous or stressed because of university responsibilities or personal challenges?]]="Almost never",1,IF(Form_Responses[[#This Row],[3. In the last month, how often have you felt nervous or stressed because of university responsibilities or personal challenges?]]="Sometimes",2,IF(Form_Responses[[#This Row],[3. In the last month, how often have you felt nervous or stressed because of university responsibilities or personal challenges?]]="Fairly often",3,4))))</f>
        <v>3</v>
      </c>
      <c r="BA20" s="3" t="s">
        <v>105</v>
      </c>
      <c r="BB20" s="4">
        <f>IF(Form_Responses[[#This Row],[4. In the last month, how often have you felt confident about your ability to handle academic or personal problems?]]="Never",4,IF(Form_Responses[[#This Row],[4. In the last month, how often have you felt confident about your ability to handle academic or personal problems?]]="Almost never",3,IF(Form_Responses[[#This Row],[4. In the last month, how often have you felt confident about your ability to handle academic or personal problems?]]="Sometimes",2,IF(Form_Responses[[#This Row],[4. In the last month, how often have you felt confident about your ability to handle academic or personal problems?]]="Fairly often",1,0))))</f>
        <v>0</v>
      </c>
      <c r="BC20" s="3" t="s">
        <v>105</v>
      </c>
      <c r="BD20" s="4">
        <f>IF(Form_Responses[[#This Row],[5. In the last month, how often have you felt that things were going well in your studies or personal life?]]="Never",4,IF(Form_Responses[[#This Row],[5. In the last month, how often have you felt that things were going well in your studies or personal life?]]="Almost never",3,IF(Form_Responses[[#This Row],[5. In the last month, how often have you felt that things were going well in your studies or personal life?]]="Sometimes",2,IF(Form_Responses[[#This Row],[5. In the last month, how often have you felt that things were going well in your studies or personal life?]]="Fairly often",1,0))))</f>
        <v>0</v>
      </c>
      <c r="BE20" s="3" t="s">
        <v>89</v>
      </c>
      <c r="BF20" s="4">
        <f>IF(Form_Responses[[#This Row],[6. In the last month, how often have you felt unable to cope with coursework, deadlines, or daily responsibilities?]]="Never",0,IF(Form_Responses[[#This Row],[6. In the last month, how often have you felt unable to cope with coursework, deadlines, or daily responsibilities?]]="Almost never",1,IF(Form_Responses[[#This Row],[6. In the last month, how often have you felt unable to cope with coursework, deadlines, or daily responsibilities?]]="Sometimes",2,IF(Form_Responses[[#This Row],[6. In the last month, how often have you felt unable to cope with coursework, deadlines, or daily responsibilities?]]="Fairly often",3,4))))</f>
        <v>2</v>
      </c>
      <c r="BG20" s="3" t="s">
        <v>88</v>
      </c>
      <c r="BH20" s="4">
        <f>IF(Form_Responses[[#This Row],[7. In the last month, how often have you been able to control irritations or frustrations in your life?]]="Never",4,IF(Form_Responses[[#This Row],[7. In the last month, how often have you been able to control irritations or frustrations in your life?]]="Almost never",3,IF(Form_Responses[[#This Row],[7. In the last month, how often have you been able to control irritations or frustrations in your life?]]="Sometimes",2,IF(Form_Responses[[#This Row],[7. In the last month, how often have you been able to control irritations or frustrations in your life?]]="Fairly often",1,0))))</f>
        <v>1</v>
      </c>
      <c r="BI20" s="3" t="s">
        <v>105</v>
      </c>
      <c r="BJ20" s="4">
        <f>IF(Form_Responses[[#This Row],[8. In the last month, how often have you felt that you were managing your academic and personal responsibilities well?]]="Never",4,IF(Form_Responses[[#This Row],[8. In the last month, how often have you felt that you were managing your academic and personal responsibilities well?]]="Almost never",3,IF(Form_Responses[[#This Row],[8. In the last month, how often have you felt that you were managing your academic and personal responsibilities well?]]="Sometimes",2,IF(Form_Responses[[#This Row],[8. In the last month, how often have you felt that you were managing your academic and personal responsibilities well?]]="Fairly often",1,0))))</f>
        <v>0</v>
      </c>
      <c r="BK20" s="3" t="s">
        <v>105</v>
      </c>
      <c r="BL20" s="5">
        <f>IF(Form_Responses[[#This Row],[9. In the last month, how often have you been angered or frustrated by situations outside your control, such as finances, academics, or relationships?]]="Never",0,IF(Form_Responses[[#This Row],[9. In the last month, how often have you been angered or frustrated by situations outside your control, such as finances, academics, or relationships?]]="Almost never",1,IF(Form_Responses[[#This Row],[9. In the last month, how often have you been angered or frustrated by situations outside your control, such as finances, academics, or relationships?]]="Sometimes",2,IF(Form_Responses[[#This Row],[9. In the last month, how often have you been angered or frustrated by situations outside your control, such as finances, academics, or relationships?]]="Fairly often",3,4))))</f>
        <v>4</v>
      </c>
      <c r="BM20" s="3" t="s">
        <v>89</v>
      </c>
      <c r="BN20" s="4">
        <f>IF(Form_Responses[[#This Row],[10. In the last month, how often have you felt that difficulties were piling up so much that you could not overcome them?]]="Never",0,IF(Form_Responses[[#This Row],[10. In the last month, how often have you felt that difficulties were piling up so much that you could not overcome them?]]="Almost never",1,IF(Form_Responses[[#This Row],[10. In the last month, how often have you felt that difficulties were piling up so much that you could not overcome them?]]="Sometimes",2,IF(Form_Responses[[#This Row],[10. In the last month, how often have you felt that difficulties were piling up so much that you could not overcome them?]]="Fairly often",3,4))))</f>
        <v>2</v>
      </c>
      <c r="BO20" s="4">
        <f>SUM(Form_Responses[[#This Row],[Score17]],Form_Responses[[#This Row],[Score18]],Form_Responses[[#This Row],[Score19]],Form_Responses[[#This Row],[Score20]],Form_Responses[[#This Row],[Score21]],Form_Responses[[#This Row],[Score22]],Form_Responses[[#This Row],[Score23]],Form_Responses[[#This Row],[Score24]],Form_Responses[[#This Row],[Score25]],Form_Responses[[#This Row],[Score26]])</f>
        <v>15</v>
      </c>
      <c r="BP20" s="4" t="str">
        <f>IF(Form_Responses[[#This Row],[Anxiety Score2]]&lt;=13,"Low stress",IF(Form_Responses[[#This Row],[Anxiety Score2]]&lt;=26,"Moderate stress","High stress"))</f>
        <v xml:space="preserve">Moderate stress</v>
      </c>
      <c r="BQ20" s="3" t="s">
        <v>76</v>
      </c>
      <c r="BR20" s="3" t="s">
        <v>76</v>
      </c>
      <c r="BS20" s="3" t="s">
        <v>203</v>
      </c>
      <c r="BT20" s="3" t="s">
        <v>204</v>
      </c>
      <c r="BU20" s="3" t="s">
        <v>76</v>
      </c>
      <c r="BV20" s="3" t="s">
        <v>205</v>
      </c>
      <c r="BW20" s="3" t="s">
        <v>200</v>
      </c>
      <c r="BX20" s="3" t="s">
        <v>206</v>
      </c>
    </row>
    <row r="21" ht="22.5" customHeight="1">
      <c r="A21" s="2">
        <v>46192.712580104169</v>
      </c>
      <c r="B21" s="3" t="s">
        <v>76</v>
      </c>
      <c r="C21" s="3" t="s">
        <v>77</v>
      </c>
      <c r="D21" s="3" t="s">
        <v>112</v>
      </c>
      <c r="E21" s="3" t="s">
        <v>207</v>
      </c>
      <c r="F21" s="3" t="s">
        <v>208</v>
      </c>
      <c r="G21" s="3" t="s">
        <v>81</v>
      </c>
      <c r="H21" s="3" t="s">
        <v>82</v>
      </c>
      <c r="I21" s="3" t="s">
        <v>102</v>
      </c>
      <c r="J21" s="3" t="s">
        <v>84</v>
      </c>
      <c r="K21" s="3" t="s">
        <v>86</v>
      </c>
      <c r="L21" s="4">
        <f>IF(K21="Not at all",0,IF(K21="Several days",1,IF(K21="More than half the days",2,3)))</f>
        <v>1</v>
      </c>
      <c r="M21" s="3" t="s">
        <v>87</v>
      </c>
      <c r="N21" s="4">
        <f>IF(M21="Not at all",0,IF(M21="Several days",1,IF(M21="More than half the days",2,3)))</f>
        <v>2</v>
      </c>
      <c r="O21" s="3" t="s">
        <v>104</v>
      </c>
      <c r="P21" s="5">
        <f>IF(O21="Not at all",0,IF(O21="Several days",1,IF(O21="More than half the days",2,3)))</f>
        <v>3</v>
      </c>
      <c r="Q21" s="3" t="s">
        <v>86</v>
      </c>
      <c r="R21" s="4">
        <f>IF(Q21="Not at all",0,IF(Q21="Several days",1,IF(Q21="More than half the days",2,3)))</f>
        <v>1</v>
      </c>
      <c r="S21" s="3" t="s">
        <v>86</v>
      </c>
      <c r="T21" s="4">
        <f>IF(S21="Not at all",0,IF(S21="Several days",1,IF(S21="More than half the days",2,3)))</f>
        <v>1</v>
      </c>
      <c r="U21" s="3" t="s">
        <v>104</v>
      </c>
      <c r="V21" s="4">
        <f>IF(U21="Not at all",0,IF(U21="Several days",1,IF(U21="More than half the days",2,3)))</f>
        <v>3</v>
      </c>
      <c r="W21" s="3" t="s">
        <v>86</v>
      </c>
      <c r="X21" s="4">
        <f>IF(W21="Not at all",0,IF(W21="Several days",1,IF(W21="More than half the days",2,3)))</f>
        <v>1</v>
      </c>
      <c r="Y21" s="3" t="s">
        <v>86</v>
      </c>
      <c r="Z21" s="4">
        <f>IF(Y21="Not at all",0,IF(Y21="Several days",1,IF(Y21="More than half the days",2,3)))</f>
        <v>1</v>
      </c>
      <c r="AA21" s="3" t="s">
        <v>85</v>
      </c>
      <c r="AB21" s="4">
        <f>IF(AA21="Not at all",0,IF(AA21="Several days",1,IF(AA21="More than half the days",2,3)))</f>
        <v>0</v>
      </c>
      <c r="AC21" s="4">
        <f>SUM(Form_Responses[[#This Row],[Score]],Form_Responses[[#This Row],[Score2]],Form_Responses[[#This Row],[Score3]],Form_Responses[[#This Row],[Score4]],Form_Responses[[#This Row],[Score5]],Form_Responses[[#This Row],[Score6]],Form_Responses[[#This Row],[Score7]],Form_Responses[[#This Row],[Score8]],Form_Responses[[#This Row],[Score9]])</f>
        <v>13</v>
      </c>
      <c r="AD21" s="4" t="str">
        <f>IF(Form_Responses[[#This Row],[Depression Score ]]&lt;=4,"Minimal symptoms",IF(Form_Responses[[#This Row],[Depression Score ]]&lt;=9,"Mild Depression",IF(Form_Responses[[#This Row],[Depression Score ]]&lt;=14,"Moderate depression",IF(Form_Responses[[#This Row],[Depression Score ]]&lt;=19,"Moderately severe depression","Severe depression"))))</f>
        <v xml:space="preserve">Moderate depression</v>
      </c>
      <c r="AE21" s="3" t="s">
        <v>115</v>
      </c>
      <c r="AF21" s="4">
        <f>IF(AE21="Not at all",0,IF(AE21="Several days",1,IF(AE21="More than half the days",2,3)))</f>
        <v>3</v>
      </c>
      <c r="AG21" s="3" t="s">
        <v>104</v>
      </c>
      <c r="AH21" s="4">
        <f>IF(AG21="Not at all",0,IF(AG21="Several days",1,IF(AG21="More than half the days",2,3)))</f>
        <v>3</v>
      </c>
      <c r="AI21" s="3" t="s">
        <v>104</v>
      </c>
      <c r="AJ21" s="4">
        <f>IF(AI21="Not at all",0,IF(AI21="Several days",1,IF(AI21="More than half the days",2,3)))</f>
        <v>3</v>
      </c>
      <c r="AK21" s="3" t="s">
        <v>104</v>
      </c>
      <c r="AL21" s="4">
        <f>IF(AK21="Not at all",0,IF(AK21="Several days",1,IF(AK21="More than half the days",2,3)))</f>
        <v>3</v>
      </c>
      <c r="AM21" s="3" t="s">
        <v>86</v>
      </c>
      <c r="AN21" s="4">
        <f>IF(AM21="Not at all",0,IF(AM21="Several days",1,IF(AM21="More than half the days",2,3)))</f>
        <v>1</v>
      </c>
      <c r="AO21" s="3" t="s">
        <v>87</v>
      </c>
      <c r="AP21" s="4">
        <f>IF(AO21="Not at all",0,IF(AO21="Several days",1,IF(AO21="More than half the days",2,3)))</f>
        <v>2</v>
      </c>
      <c r="AQ21" s="3" t="s">
        <v>104</v>
      </c>
      <c r="AR21" s="4">
        <f>IF(AQ21="Not at all",0,IF(AQ21="Several days",1,IF(AQ21="More than half the days",2,3)))</f>
        <v>3</v>
      </c>
      <c r="AS21" s="4">
        <f>SUM(Form_Responses[[#This Row],[Score16]],Form_Responses[[#This Row],[Score10]],Form_Responses[[#This Row],[Score11]],Form_Responses[[#This Row],[Score12]],Form_Responses[[#This Row],[Score13]],Form_Responses[[#This Row],[Score14]],Form_Responses[[#This Row],[Score15]])</f>
        <v>18</v>
      </c>
      <c r="AT21" s="4" t="str">
        <f>IF(Form_Responses[[#This Row],[Anxiety Score]]&lt;=4,"Minimal anxiety",IF(Form_Responses[[#This Row],[Anxiety Score]]&lt;=9,"Mild anxiety",IF(Form_Responses[[#This Row],[Anxiety Score]]&lt;=14,"Moderate anxiety","Severe anxiety")))</f>
        <v xml:space="preserve">Severe anxiety</v>
      </c>
      <c r="AU21" s="3" t="s">
        <v>105</v>
      </c>
      <c r="AV21" s="4">
        <f>IF(Form_Responses[[#This Row],[1. In the last month, how often have you been upset because of unexpected situations related to academics, finances, or personal life?]]="Never",0,IF(Form_Responses[[#This Row],[1. In the last month, how often have you been upset because of unexpected situations related to academics, finances, or personal life?]]="Almost never",1,IF(Form_Responses[[#This Row],[1. In the last month, how often have you been upset because of unexpected situations related to academics, finances, or personal life?]]="Sometimes",2,IF(Form_Responses[[#This Row],[1. In the last month, how often have you been upset because of unexpected situations related to academics, finances, or personal life?]]="Fairly often",3,4))))</f>
        <v>4</v>
      </c>
      <c r="AW21" s="3" t="s">
        <v>105</v>
      </c>
      <c r="AX21" s="5">
        <f>IF(Form_Responses[[#This Row],[2. In the last month, how often have you felt unable to control important things in your academic or personal life?]]="Never",0,IF(Form_Responses[[#This Row],[2. In the last month, how often have you felt unable to control important things in your academic or personal life?]]="Almost never",1,IF(Form_Responses[[#This Row],[2. In the last month, how often have you felt unable to control important things in your academic or personal life?]]="Sometimes",2,IF(Form_Responses[[#This Row],[2. In the last month, how often have you felt unable to control important things in your academic or personal life?]]="Fairly often",3,4))))</f>
        <v>4</v>
      </c>
      <c r="AY21" s="3" t="s">
        <v>105</v>
      </c>
      <c r="AZ21" s="4">
        <f>IF(Form_Responses[[#This Row],[3. In the last month, how often have you felt nervous or stressed because of university responsibilities or personal challenges?]]="Never",0,IF(Form_Responses[[#This Row],[3. In the last month, how often have you felt nervous or stressed because of university responsibilities or personal challenges?]]="Almost never",1,IF(Form_Responses[[#This Row],[3. In the last month, how often have you felt nervous or stressed because of university responsibilities or personal challenges?]]="Sometimes",2,IF(Form_Responses[[#This Row],[3. In the last month, how often have you felt nervous or stressed because of university responsibilities or personal challenges?]]="Fairly often",3,4))))</f>
        <v>4</v>
      </c>
      <c r="BA21" s="3" t="s">
        <v>88</v>
      </c>
      <c r="BB21" s="4">
        <f>IF(Form_Responses[[#This Row],[4. In the last month, how often have you felt confident about your ability to handle academic or personal problems?]]="Never",4,IF(Form_Responses[[#This Row],[4. In the last month, how often have you felt confident about your ability to handle academic or personal problems?]]="Almost never",3,IF(Form_Responses[[#This Row],[4. In the last month, how often have you felt confident about your ability to handle academic or personal problems?]]="Sometimes",2,IF(Form_Responses[[#This Row],[4. In the last month, how often have you felt confident about your ability to handle academic or personal problems?]]="Fairly often",1,0))))</f>
        <v>1</v>
      </c>
      <c r="BC21" s="3" t="s">
        <v>90</v>
      </c>
      <c r="BD21" s="4">
        <f>IF(Form_Responses[[#This Row],[5. In the last month, how often have you felt that things were going well in your studies or personal life?]]="Never",4,IF(Form_Responses[[#This Row],[5. In the last month, how often have you felt that things were going well in your studies or personal life?]]="Almost never",3,IF(Form_Responses[[#This Row],[5. In the last month, how often have you felt that things were going well in your studies or personal life?]]="Sometimes",2,IF(Form_Responses[[#This Row],[5. In the last month, how often have you felt that things were going well in your studies or personal life?]]="Fairly often",1,0))))</f>
        <v>3</v>
      </c>
      <c r="BE21" s="3" t="s">
        <v>89</v>
      </c>
      <c r="BF21" s="4">
        <f>IF(Form_Responses[[#This Row],[6. In the last month, how often have you felt unable to cope with coursework, deadlines, or daily responsibilities?]]="Never",0,IF(Form_Responses[[#This Row],[6. In the last month, how often have you felt unable to cope with coursework, deadlines, or daily responsibilities?]]="Almost never",1,IF(Form_Responses[[#This Row],[6. In the last month, how often have you felt unable to cope with coursework, deadlines, or daily responsibilities?]]="Sometimes",2,IF(Form_Responses[[#This Row],[6. In the last month, how often have you felt unable to cope with coursework, deadlines, or daily responsibilities?]]="Fairly often",3,4))))</f>
        <v>2</v>
      </c>
      <c r="BG21" s="3" t="s">
        <v>88</v>
      </c>
      <c r="BH21" s="4">
        <f>IF(Form_Responses[[#This Row],[7. In the last month, how often have you been able to control irritations or frustrations in your life?]]="Never",4,IF(Form_Responses[[#This Row],[7. In the last month, how often have you been able to control irritations or frustrations in your life?]]="Almost never",3,IF(Form_Responses[[#This Row],[7. In the last month, how often have you been able to control irritations or frustrations in your life?]]="Sometimes",2,IF(Form_Responses[[#This Row],[7. In the last month, how often have you been able to control irritations or frustrations in your life?]]="Fairly often",1,0))))</f>
        <v>1</v>
      </c>
      <c r="BI21" s="3" t="s">
        <v>89</v>
      </c>
      <c r="BJ21" s="4">
        <f>IF(Form_Responses[[#This Row],[8. In the last month, how often have you felt that you were managing your academic and personal responsibilities well?]]="Never",4,IF(Form_Responses[[#This Row],[8. In the last month, how often have you felt that you were managing your academic and personal responsibilities well?]]="Almost never",3,IF(Form_Responses[[#This Row],[8. In the last month, how often have you felt that you were managing your academic and personal responsibilities well?]]="Sometimes",2,IF(Form_Responses[[#This Row],[8. In the last month, how often have you felt that you were managing your academic and personal responsibilities well?]]="Fairly often",1,0))))</f>
        <v>2</v>
      </c>
      <c r="BK21" s="3" t="s">
        <v>88</v>
      </c>
      <c r="BL21" s="5">
        <f>IF(Form_Responses[[#This Row],[9. In the last month, how often have you been angered or frustrated by situations outside your control, such as finances, academics, or relationships?]]="Never",0,IF(Form_Responses[[#This Row],[9. In the last month, how often have you been angered or frustrated by situations outside your control, such as finances, academics, or relationships?]]="Almost never",1,IF(Form_Responses[[#This Row],[9. In the last month, how often have you been angered or frustrated by situations outside your control, such as finances, academics, or relationships?]]="Sometimes",2,IF(Form_Responses[[#This Row],[9. In the last month, how often have you been angered or frustrated by situations outside your control, such as finances, academics, or relationships?]]="Fairly often",3,4))))</f>
        <v>3</v>
      </c>
      <c r="BM21" s="3" t="s">
        <v>105</v>
      </c>
      <c r="BN21" s="4">
        <f>IF(Form_Responses[[#This Row],[10. In the last month, how often have you felt that difficulties were piling up so much that you could not overcome them?]]="Never",0,IF(Form_Responses[[#This Row],[10. In the last month, how often have you felt that difficulties were piling up so much that you could not overcome them?]]="Almost never",1,IF(Form_Responses[[#This Row],[10. In the last month, how often have you felt that difficulties were piling up so much that you could not overcome them?]]="Sometimes",2,IF(Form_Responses[[#This Row],[10. In the last month, how often have you felt that difficulties were piling up so much that you could not overcome them?]]="Fairly often",3,4))))</f>
        <v>4</v>
      </c>
      <c r="BO21" s="4">
        <f>SUM(Form_Responses[[#This Row],[Score17]],Form_Responses[[#This Row],[Score18]],Form_Responses[[#This Row],[Score19]],Form_Responses[[#This Row],[Score20]],Form_Responses[[#This Row],[Score21]],Form_Responses[[#This Row],[Score22]],Form_Responses[[#This Row],[Score23]],Form_Responses[[#This Row],[Score24]],Form_Responses[[#This Row],[Score25]],Form_Responses[[#This Row],[Score26]])</f>
        <v>28</v>
      </c>
      <c r="BP21" s="4" t="str">
        <f>IF(Form_Responses[[#This Row],[Anxiety Score2]]&lt;=13,"Low stress",IF(Form_Responses[[#This Row],[Anxiety Score2]]&lt;=26,"Moderate stress","High stress"))</f>
        <v xml:space="preserve">High stress</v>
      </c>
      <c r="BQ21" s="3" t="s">
        <v>76</v>
      </c>
      <c r="BR21" s="3" t="s">
        <v>106</v>
      </c>
      <c r="BS21" s="3" t="s">
        <v>209</v>
      </c>
      <c r="BT21" s="3" t="s">
        <v>93</v>
      </c>
      <c r="BU21" s="3" t="s">
        <v>76</v>
      </c>
      <c r="BV21" s="3" t="s">
        <v>210</v>
      </c>
      <c r="BW21" s="3" t="s">
        <v>211</v>
      </c>
      <c r="BX21" s="3" t="s">
        <v>212</v>
      </c>
    </row>
    <row r="22" ht="22.5" customHeight="1">
      <c r="A22" s="2">
        <v>46192.714083854167</v>
      </c>
      <c r="B22" s="3" t="s">
        <v>76</v>
      </c>
      <c r="C22" s="3" t="s">
        <v>77</v>
      </c>
      <c r="D22" s="3" t="s">
        <v>112</v>
      </c>
      <c r="E22" s="3" t="s">
        <v>213</v>
      </c>
      <c r="F22" s="3" t="s">
        <v>170</v>
      </c>
      <c r="G22" s="3" t="s">
        <v>100</v>
      </c>
      <c r="H22" s="3" t="s">
        <v>82</v>
      </c>
      <c r="I22" s="3" t="s">
        <v>83</v>
      </c>
      <c r="J22" s="3" t="s">
        <v>84</v>
      </c>
      <c r="K22" s="3" t="s">
        <v>142</v>
      </c>
      <c r="L22" s="4">
        <f>IF(K22="Not at all",0,IF(K22="Several days",1,IF(K22="More than half the days",2,3)))</f>
        <v>3</v>
      </c>
      <c r="M22" s="3" t="s">
        <v>85</v>
      </c>
      <c r="N22" s="4">
        <f>IF(M22="Not at all",0,IF(M22="Several days",1,IF(M22="More than half the days",2,3)))</f>
        <v>0</v>
      </c>
      <c r="O22" s="3" t="s">
        <v>85</v>
      </c>
      <c r="P22" s="5">
        <f>IF(O22="Not at all",0,IF(O22="Several days",1,IF(O22="More than half the days",2,3)))</f>
        <v>0</v>
      </c>
      <c r="Q22" s="3" t="s">
        <v>87</v>
      </c>
      <c r="R22" s="4">
        <f>IF(Q22="Not at all",0,IF(Q22="Several days",1,IF(Q22="More than half the days",2,3)))</f>
        <v>2</v>
      </c>
      <c r="S22" s="3" t="s">
        <v>85</v>
      </c>
      <c r="T22" s="4">
        <f>IF(S22="Not at all",0,IF(S22="Several days",1,IF(S22="More than half the days",2,3)))</f>
        <v>0</v>
      </c>
      <c r="U22" s="3" t="s">
        <v>85</v>
      </c>
      <c r="V22" s="4">
        <f>IF(U22="Not at all",0,IF(U22="Several days",1,IF(U22="More than half the days",2,3)))</f>
        <v>0</v>
      </c>
      <c r="W22" s="3" t="s">
        <v>87</v>
      </c>
      <c r="X22" s="4">
        <f>IF(W22="Not at all",0,IF(W22="Several days",1,IF(W22="More than half the days",2,3)))</f>
        <v>2</v>
      </c>
      <c r="Y22" s="3" t="s">
        <v>85</v>
      </c>
      <c r="Z22" s="4">
        <f>IF(Y22="Not at all",0,IF(Y22="Several days",1,IF(Y22="More than half the days",2,3)))</f>
        <v>0</v>
      </c>
      <c r="AA22" s="3" t="s">
        <v>85</v>
      </c>
      <c r="AB22" s="4">
        <f>IF(AA22="Not at all",0,IF(AA22="Several days",1,IF(AA22="More than half the days",2,3)))</f>
        <v>0</v>
      </c>
      <c r="AC22" s="4">
        <f>SUM(Form_Responses[[#This Row],[Score]],Form_Responses[[#This Row],[Score2]],Form_Responses[[#This Row],[Score3]],Form_Responses[[#This Row],[Score4]],Form_Responses[[#This Row],[Score5]],Form_Responses[[#This Row],[Score6]],Form_Responses[[#This Row],[Score7]],Form_Responses[[#This Row],[Score8]],Form_Responses[[#This Row],[Score9]])</f>
        <v>7</v>
      </c>
      <c r="AD22" s="4" t="str">
        <f>IF(Form_Responses[[#This Row],[Depression Score ]]&lt;=4,"Minimal symptoms",IF(Form_Responses[[#This Row],[Depression Score ]]&lt;=9,"Mild Depression",IF(Form_Responses[[#This Row],[Depression Score ]]&lt;=14,"Moderate depression",IF(Form_Responses[[#This Row],[Depression Score ]]&lt;=19,"Moderately severe depression","Severe depression"))))</f>
        <v xml:space="preserve">Mild Depression</v>
      </c>
      <c r="AE22" s="3" t="s">
        <v>85</v>
      </c>
      <c r="AF22" s="4">
        <f>IF(AE22="Not at all",0,IF(AE22="Several days",1,IF(AE22="More than half the days",2,3)))</f>
        <v>0</v>
      </c>
      <c r="AG22" s="3" t="s">
        <v>87</v>
      </c>
      <c r="AH22" s="4">
        <f>IF(AG22="Not at all",0,IF(AG22="Several days",1,IF(AG22="More than half the days",2,3)))</f>
        <v>2</v>
      </c>
      <c r="AI22" s="3" t="s">
        <v>87</v>
      </c>
      <c r="AJ22" s="4">
        <f>IF(AI22="Not at all",0,IF(AI22="Several days",1,IF(AI22="More than half the days",2,3)))</f>
        <v>2</v>
      </c>
      <c r="AK22" s="3" t="s">
        <v>85</v>
      </c>
      <c r="AL22" s="4">
        <f>IF(AK22="Not at all",0,IF(AK22="Several days",1,IF(AK22="More than half the days",2,3)))</f>
        <v>0</v>
      </c>
      <c r="AM22" s="3" t="s">
        <v>85</v>
      </c>
      <c r="AN22" s="4">
        <f>IF(AM22="Not at all",0,IF(AM22="Several days",1,IF(AM22="More than half the days",2,3)))</f>
        <v>0</v>
      </c>
      <c r="AO22" s="3" t="s">
        <v>85</v>
      </c>
      <c r="AP22" s="4">
        <f>IF(AO22="Not at all",0,IF(AO22="Several days",1,IF(AO22="More than half the days",2,3)))</f>
        <v>0</v>
      </c>
      <c r="AQ22" s="3" t="s">
        <v>85</v>
      </c>
      <c r="AR22" s="4">
        <f>IF(AQ22="Not at all",0,IF(AQ22="Several days",1,IF(AQ22="More than half the days",2,3)))</f>
        <v>0</v>
      </c>
      <c r="AS22" s="4">
        <f>SUM(Form_Responses[[#This Row],[Score16]],Form_Responses[[#This Row],[Score10]],Form_Responses[[#This Row],[Score11]],Form_Responses[[#This Row],[Score12]],Form_Responses[[#This Row],[Score13]],Form_Responses[[#This Row],[Score14]],Form_Responses[[#This Row],[Score15]])</f>
        <v>4</v>
      </c>
      <c r="AT22" s="4" t="str">
        <f>IF(Form_Responses[[#This Row],[Anxiety Score]]&lt;=4,"Minimal anxiety",IF(Form_Responses[[#This Row],[Anxiety Score]]&lt;=9,"Mild anxiety",IF(Form_Responses[[#This Row],[Anxiety Score]]&lt;=14,"Moderate anxiety","Severe anxiety")))</f>
        <v xml:space="preserve">Minimal anxiety</v>
      </c>
      <c r="AU22" s="3" t="s">
        <v>89</v>
      </c>
      <c r="AV22" s="4">
        <f>IF(Form_Responses[[#This Row],[1. In the last month, how often have you been upset because of unexpected situations related to academics, finances, or personal life?]]="Never",0,IF(Form_Responses[[#This Row],[1. In the last month, how often have you been upset because of unexpected situations related to academics, finances, or personal life?]]="Almost never",1,IF(Form_Responses[[#This Row],[1. In the last month, how often have you been upset because of unexpected situations related to academics, finances, or personal life?]]="Sometimes",2,IF(Form_Responses[[#This Row],[1. In the last month, how often have you been upset because of unexpected situations related to academics, finances, or personal life?]]="Fairly often",3,4))))</f>
        <v>2</v>
      </c>
      <c r="AW22" s="3" t="s">
        <v>89</v>
      </c>
      <c r="AX22" s="5">
        <f>IF(Form_Responses[[#This Row],[2. In the last month, how often have you felt unable to control important things in your academic or personal life?]]="Never",0,IF(Form_Responses[[#This Row],[2. In the last month, how often have you felt unable to control important things in your academic or personal life?]]="Almost never",1,IF(Form_Responses[[#This Row],[2. In the last month, how often have you felt unable to control important things in your academic or personal life?]]="Sometimes",2,IF(Form_Responses[[#This Row],[2. In the last month, how often have you felt unable to control important things in your academic or personal life?]]="Fairly often",3,4))))</f>
        <v>2</v>
      </c>
      <c r="AY22" s="3" t="s">
        <v>89</v>
      </c>
      <c r="AZ22" s="4">
        <f>IF(Form_Responses[[#This Row],[3. In the last month, how often have you felt nervous or stressed because of university responsibilities or personal challenges?]]="Never",0,IF(Form_Responses[[#This Row],[3. In the last month, how often have you felt nervous or stressed because of university responsibilities or personal challenges?]]="Almost never",1,IF(Form_Responses[[#This Row],[3. In the last month, how often have you felt nervous or stressed because of university responsibilities or personal challenges?]]="Sometimes",2,IF(Form_Responses[[#This Row],[3. In the last month, how often have you felt nervous or stressed because of university responsibilities or personal challenges?]]="Fairly often",3,4))))</f>
        <v>2</v>
      </c>
      <c r="BA22" s="3" t="s">
        <v>105</v>
      </c>
      <c r="BB22" s="4">
        <f>IF(Form_Responses[[#This Row],[4. In the last month, how often have you felt confident about your ability to handle academic or personal problems?]]="Never",4,IF(Form_Responses[[#This Row],[4. In the last month, how often have you felt confident about your ability to handle academic or personal problems?]]="Almost never",3,IF(Form_Responses[[#This Row],[4. In the last month, how often have you felt confident about your ability to handle academic or personal problems?]]="Sometimes",2,IF(Form_Responses[[#This Row],[4. In the last month, how often have you felt confident about your ability to handle academic or personal problems?]]="Fairly often",1,0))))</f>
        <v>0</v>
      </c>
      <c r="BC22" s="3" t="s">
        <v>105</v>
      </c>
      <c r="BD22" s="4">
        <f>IF(Form_Responses[[#This Row],[5. In the last month, how often have you felt that things were going well in your studies or personal life?]]="Never",4,IF(Form_Responses[[#This Row],[5. In the last month, how often have you felt that things were going well in your studies or personal life?]]="Almost never",3,IF(Form_Responses[[#This Row],[5. In the last month, how often have you felt that things were going well in your studies or personal life?]]="Sometimes",2,IF(Form_Responses[[#This Row],[5. In the last month, how often have you felt that things were going well in your studies or personal life?]]="Fairly often",1,0))))</f>
        <v>0</v>
      </c>
      <c r="BE22" s="3" t="s">
        <v>105</v>
      </c>
      <c r="BF22" s="4">
        <f>IF(Form_Responses[[#This Row],[6. In the last month, how often have you felt unable to cope with coursework, deadlines, or daily responsibilities?]]="Never",0,IF(Form_Responses[[#This Row],[6. In the last month, how often have you felt unable to cope with coursework, deadlines, or daily responsibilities?]]="Almost never",1,IF(Form_Responses[[#This Row],[6. In the last month, how often have you felt unable to cope with coursework, deadlines, or daily responsibilities?]]="Sometimes",2,IF(Form_Responses[[#This Row],[6. In the last month, how often have you felt unable to cope with coursework, deadlines, or daily responsibilities?]]="Fairly often",3,4))))</f>
        <v>4</v>
      </c>
      <c r="BG22" s="3" t="s">
        <v>89</v>
      </c>
      <c r="BH22" s="4">
        <f>IF(Form_Responses[[#This Row],[7. In the last month, how often have you been able to control irritations or frustrations in your life?]]="Never",4,IF(Form_Responses[[#This Row],[7. In the last month, how often have you been able to control irritations or frustrations in your life?]]="Almost never",3,IF(Form_Responses[[#This Row],[7. In the last month, how often have you been able to control irritations or frustrations in your life?]]="Sometimes",2,IF(Form_Responses[[#This Row],[7. In the last month, how often have you been able to control irritations or frustrations in your life?]]="Fairly often",1,0))))</f>
        <v>2</v>
      </c>
      <c r="BI22" s="3" t="s">
        <v>105</v>
      </c>
      <c r="BJ22" s="4">
        <f>IF(Form_Responses[[#This Row],[8. In the last month, how often have you felt that you were managing your academic and personal responsibilities well?]]="Never",4,IF(Form_Responses[[#This Row],[8. In the last month, how often have you felt that you were managing your academic and personal responsibilities well?]]="Almost never",3,IF(Form_Responses[[#This Row],[8. In the last month, how often have you felt that you were managing your academic and personal responsibilities well?]]="Sometimes",2,IF(Form_Responses[[#This Row],[8. In the last month, how often have you felt that you were managing your academic and personal responsibilities well?]]="Fairly often",1,0))))</f>
        <v>0</v>
      </c>
      <c r="BK22" s="3" t="s">
        <v>89</v>
      </c>
      <c r="BL22" s="5">
        <f>IF(Form_Responses[[#This Row],[9. In the last month, how often have you been angered or frustrated by situations outside your control, such as finances, academics, or relationships?]]="Never",0,IF(Form_Responses[[#This Row],[9. In the last month, how often have you been angered or frustrated by situations outside your control, such as finances, academics, or relationships?]]="Almost never",1,IF(Form_Responses[[#This Row],[9. In the last month, how often have you been angered or frustrated by situations outside your control, such as finances, academics, or relationships?]]="Sometimes",2,IF(Form_Responses[[#This Row],[9. In the last month, how often have you been angered or frustrated by situations outside your control, such as finances, academics, or relationships?]]="Fairly often",3,4))))</f>
        <v>2</v>
      </c>
      <c r="BM22" s="3" t="s">
        <v>124</v>
      </c>
      <c r="BN22" s="4">
        <f>IF(Form_Responses[[#This Row],[10. In the last month, how often have you felt that difficulties were piling up so much that you could not overcome them?]]="Never",0,IF(Form_Responses[[#This Row],[10. In the last month, how often have you felt that difficulties were piling up so much that you could not overcome them?]]="Almost never",1,IF(Form_Responses[[#This Row],[10. In the last month, how often have you felt that difficulties were piling up so much that you could not overcome them?]]="Sometimes",2,IF(Form_Responses[[#This Row],[10. In the last month, how often have you felt that difficulties were piling up so much that you could not overcome them?]]="Fairly often",3,4))))</f>
        <v>0</v>
      </c>
      <c r="BO22" s="4">
        <f>SUM(Form_Responses[[#This Row],[Score17]],Form_Responses[[#This Row],[Score18]],Form_Responses[[#This Row],[Score19]],Form_Responses[[#This Row],[Score20]],Form_Responses[[#This Row],[Score21]],Form_Responses[[#This Row],[Score22]],Form_Responses[[#This Row],[Score23]],Form_Responses[[#This Row],[Score24]],Form_Responses[[#This Row],[Score25]],Form_Responses[[#This Row],[Score26]])</f>
        <v>14</v>
      </c>
      <c r="BP22" s="4" t="str">
        <f>IF(Form_Responses[[#This Row],[Anxiety Score2]]&lt;=13,"Low stress",IF(Form_Responses[[#This Row],[Anxiety Score2]]&lt;=26,"Moderate stress","High stress"))</f>
        <v xml:space="preserve">Moderate stress</v>
      </c>
      <c r="BQ22" s="3" t="s">
        <v>91</v>
      </c>
      <c r="BR22" s="3" t="s">
        <v>106</v>
      </c>
      <c r="BS22" s="3" t="s">
        <v>174</v>
      </c>
      <c r="BT22" s="3" t="s">
        <v>214</v>
      </c>
      <c r="BU22" s="3" t="s">
        <v>91</v>
      </c>
      <c r="BV22" s="3" t="s">
        <v>215</v>
      </c>
      <c r="BW22" s="3" t="s">
        <v>216</v>
      </c>
      <c r="BX22" s="3" t="s">
        <v>217</v>
      </c>
    </row>
    <row r="23" ht="22.5" customHeight="1">
      <c r="A23" s="2">
        <v>46192.714762824078</v>
      </c>
      <c r="B23" s="3" t="s">
        <v>76</v>
      </c>
      <c r="C23" s="3" t="s">
        <v>154</v>
      </c>
      <c r="D23" s="3" t="s">
        <v>78</v>
      </c>
      <c r="E23" s="3" t="s">
        <v>218</v>
      </c>
      <c r="F23" s="3" t="s">
        <v>219</v>
      </c>
      <c r="G23" s="3" t="s">
        <v>81</v>
      </c>
      <c r="H23" s="3" t="s">
        <v>101</v>
      </c>
      <c r="I23" s="3" t="s">
        <v>83</v>
      </c>
      <c r="J23" s="3" t="s">
        <v>160</v>
      </c>
      <c r="K23" s="3" t="s">
        <v>142</v>
      </c>
      <c r="L23" s="4">
        <f>IF(K23="Not at all",0,IF(K23="Several days",1,IF(K23="More than half the days",2,3)))</f>
        <v>3</v>
      </c>
      <c r="M23" s="3" t="s">
        <v>86</v>
      </c>
      <c r="N23" s="4">
        <f>IF(M23="Not at all",0,IF(M23="Several days",1,IF(M23="More than half the days",2,3)))</f>
        <v>1</v>
      </c>
      <c r="O23" s="3" t="s">
        <v>86</v>
      </c>
      <c r="P23" s="5">
        <f>IF(O23="Not at all",0,IF(O23="Several days",1,IF(O23="More than half the days",2,3)))</f>
        <v>1</v>
      </c>
      <c r="Q23" s="3" t="s">
        <v>86</v>
      </c>
      <c r="R23" s="4">
        <f>IF(Q23="Not at all",0,IF(Q23="Several days",1,IF(Q23="More than half the days",2,3)))</f>
        <v>1</v>
      </c>
      <c r="S23" s="3" t="s">
        <v>86</v>
      </c>
      <c r="T23" s="4">
        <f>IF(S23="Not at all",0,IF(S23="Several days",1,IF(S23="More than half the days",2,3)))</f>
        <v>1</v>
      </c>
      <c r="U23" s="3" t="s">
        <v>86</v>
      </c>
      <c r="V23" s="4">
        <f>IF(U23="Not at all",0,IF(U23="Several days",1,IF(U23="More than half the days",2,3)))</f>
        <v>1</v>
      </c>
      <c r="W23" s="3" t="s">
        <v>85</v>
      </c>
      <c r="X23" s="4">
        <f>IF(W23="Not at all",0,IF(W23="Several days",1,IF(W23="More than half the days",2,3)))</f>
        <v>0</v>
      </c>
      <c r="Y23" s="3" t="s">
        <v>86</v>
      </c>
      <c r="Z23" s="4">
        <f>IF(Y23="Not at all",0,IF(Y23="Several days",1,IF(Y23="More than half the days",2,3)))</f>
        <v>1</v>
      </c>
      <c r="AA23" s="3" t="s">
        <v>85</v>
      </c>
      <c r="AB23" s="4">
        <f>IF(AA23="Not at all",0,IF(AA23="Several days",1,IF(AA23="More than half the days",2,3)))</f>
        <v>0</v>
      </c>
      <c r="AC23" s="4">
        <f>SUM(Form_Responses[[#This Row],[Score]],Form_Responses[[#This Row],[Score2]],Form_Responses[[#This Row],[Score3]],Form_Responses[[#This Row],[Score4]],Form_Responses[[#This Row],[Score5]],Form_Responses[[#This Row],[Score6]],Form_Responses[[#This Row],[Score7]],Form_Responses[[#This Row],[Score8]],Form_Responses[[#This Row],[Score9]])</f>
        <v>9</v>
      </c>
      <c r="AD23" s="4" t="str">
        <f>IF(Form_Responses[[#This Row],[Depression Score ]]&lt;=4,"Minimal symptoms",IF(Form_Responses[[#This Row],[Depression Score ]]&lt;=9,"Mild Depression",IF(Form_Responses[[#This Row],[Depression Score ]]&lt;=14,"Moderate depression",IF(Form_Responses[[#This Row],[Depression Score ]]&lt;=19,"Moderately severe depression","Severe depression"))))</f>
        <v xml:space="preserve">Mild Depression</v>
      </c>
      <c r="AE23" s="3" t="s">
        <v>86</v>
      </c>
      <c r="AF23" s="4">
        <f>IF(AE23="Not at all",0,IF(AE23="Several days",1,IF(AE23="More than half the days",2,3)))</f>
        <v>1</v>
      </c>
      <c r="AG23" s="3" t="s">
        <v>86</v>
      </c>
      <c r="AH23" s="4">
        <f>IF(AG23="Not at all",0,IF(AG23="Several days",1,IF(AG23="More than half the days",2,3)))</f>
        <v>1</v>
      </c>
      <c r="AI23" s="3" t="s">
        <v>86</v>
      </c>
      <c r="AJ23" s="4">
        <f>IF(AI23="Not at all",0,IF(AI23="Several days",1,IF(AI23="More than half the days",2,3)))</f>
        <v>1</v>
      </c>
      <c r="AK23" s="3" t="s">
        <v>86</v>
      </c>
      <c r="AL23" s="4">
        <f>IF(AK23="Not at all",0,IF(AK23="Several days",1,IF(AK23="More than half the days",2,3)))</f>
        <v>1</v>
      </c>
      <c r="AM23" s="3" t="s">
        <v>85</v>
      </c>
      <c r="AN23" s="4">
        <f>IF(AM23="Not at all",0,IF(AM23="Several days",1,IF(AM23="More than half the days",2,3)))</f>
        <v>0</v>
      </c>
      <c r="AO23" s="3" t="s">
        <v>86</v>
      </c>
      <c r="AP23" s="4">
        <f>IF(AO23="Not at all",0,IF(AO23="Several days",1,IF(AO23="More than half the days",2,3)))</f>
        <v>1</v>
      </c>
      <c r="AQ23" s="3" t="s">
        <v>85</v>
      </c>
      <c r="AR23" s="4">
        <f>IF(AQ23="Not at all",0,IF(AQ23="Several days",1,IF(AQ23="More than half the days",2,3)))</f>
        <v>0</v>
      </c>
      <c r="AS23" s="4">
        <f>SUM(Form_Responses[[#This Row],[Score16]],Form_Responses[[#This Row],[Score10]],Form_Responses[[#This Row],[Score11]],Form_Responses[[#This Row],[Score12]],Form_Responses[[#This Row],[Score13]],Form_Responses[[#This Row],[Score14]],Form_Responses[[#This Row],[Score15]])</f>
        <v>5</v>
      </c>
      <c r="AT23" s="4" t="str">
        <f>IF(Form_Responses[[#This Row],[Anxiety Score]]&lt;=4,"Minimal anxiety",IF(Form_Responses[[#This Row],[Anxiety Score]]&lt;=9,"Mild anxiety",IF(Form_Responses[[#This Row],[Anxiety Score]]&lt;=14,"Moderate anxiety","Severe anxiety")))</f>
        <v xml:space="preserve">Mild anxiety</v>
      </c>
      <c r="AU23" s="3" t="s">
        <v>88</v>
      </c>
      <c r="AV23" s="4">
        <f>IF(Form_Responses[[#This Row],[1. In the last month, how often have you been upset because of unexpected situations related to academics, finances, or personal life?]]="Never",0,IF(Form_Responses[[#This Row],[1. In the last month, how often have you been upset because of unexpected situations related to academics, finances, or personal life?]]="Almost never",1,IF(Form_Responses[[#This Row],[1. In the last month, how often have you been upset because of unexpected situations related to academics, finances, or personal life?]]="Sometimes",2,IF(Form_Responses[[#This Row],[1. In the last month, how often have you been upset because of unexpected situations related to academics, finances, or personal life?]]="Fairly often",3,4))))</f>
        <v>3</v>
      </c>
      <c r="AW23" s="3" t="s">
        <v>89</v>
      </c>
      <c r="AX23" s="5">
        <f>IF(Form_Responses[[#This Row],[2. In the last month, how often have you felt unable to control important things in your academic or personal life?]]="Never",0,IF(Form_Responses[[#This Row],[2. In the last month, how often have you felt unable to control important things in your academic or personal life?]]="Almost never",1,IF(Form_Responses[[#This Row],[2. In the last month, how often have you felt unable to control important things in your academic or personal life?]]="Sometimes",2,IF(Form_Responses[[#This Row],[2. In the last month, how often have you felt unable to control important things in your academic or personal life?]]="Fairly often",3,4))))</f>
        <v>2</v>
      </c>
      <c r="AY23" s="3" t="s">
        <v>88</v>
      </c>
      <c r="AZ23" s="4">
        <f>IF(Form_Responses[[#This Row],[3. In the last month, how often have you felt nervous or stressed because of university responsibilities or personal challenges?]]="Never",0,IF(Form_Responses[[#This Row],[3. In the last month, how often have you felt nervous or stressed because of university responsibilities or personal challenges?]]="Almost never",1,IF(Form_Responses[[#This Row],[3. In the last month, how often have you felt nervous or stressed because of university responsibilities or personal challenges?]]="Sometimes",2,IF(Form_Responses[[#This Row],[3. In the last month, how often have you felt nervous or stressed because of university responsibilities or personal challenges?]]="Fairly often",3,4))))</f>
        <v>3</v>
      </c>
      <c r="BA23" s="3" t="s">
        <v>105</v>
      </c>
      <c r="BB23" s="4">
        <f>IF(Form_Responses[[#This Row],[4. In the last month, how often have you felt confident about your ability to handle academic or personal problems?]]="Never",4,IF(Form_Responses[[#This Row],[4. In the last month, how often have you felt confident about your ability to handle academic or personal problems?]]="Almost never",3,IF(Form_Responses[[#This Row],[4. In the last month, how often have you felt confident about your ability to handle academic or personal problems?]]="Sometimes",2,IF(Form_Responses[[#This Row],[4. In the last month, how often have you felt confident about your ability to handle academic or personal problems?]]="Fairly often",1,0))))</f>
        <v>0</v>
      </c>
      <c r="BC23" s="3" t="s">
        <v>88</v>
      </c>
      <c r="BD23" s="4">
        <f>IF(Form_Responses[[#This Row],[5. In the last month, how often have you felt that things were going well in your studies or personal life?]]="Never",4,IF(Form_Responses[[#This Row],[5. In the last month, how often have you felt that things were going well in your studies or personal life?]]="Almost never",3,IF(Form_Responses[[#This Row],[5. In the last month, how often have you felt that things were going well in your studies or personal life?]]="Sometimes",2,IF(Form_Responses[[#This Row],[5. In the last month, how often have you felt that things were going well in your studies or personal life?]]="Fairly often",1,0))))</f>
        <v>1</v>
      </c>
      <c r="BE23" s="3" t="s">
        <v>89</v>
      </c>
      <c r="BF23" s="4">
        <f>IF(Form_Responses[[#This Row],[6. In the last month, how often have you felt unable to cope with coursework, deadlines, or daily responsibilities?]]="Never",0,IF(Form_Responses[[#This Row],[6. In the last month, how often have you felt unable to cope with coursework, deadlines, or daily responsibilities?]]="Almost never",1,IF(Form_Responses[[#This Row],[6. In the last month, how often have you felt unable to cope with coursework, deadlines, or daily responsibilities?]]="Sometimes",2,IF(Form_Responses[[#This Row],[6. In the last month, how often have you felt unable to cope with coursework, deadlines, or daily responsibilities?]]="Fairly often",3,4))))</f>
        <v>2</v>
      </c>
      <c r="BG23" s="3" t="s">
        <v>88</v>
      </c>
      <c r="BH23" s="4">
        <f>IF(Form_Responses[[#This Row],[7. In the last month, how often have you been able to control irritations or frustrations in your life?]]="Never",4,IF(Form_Responses[[#This Row],[7. In the last month, how often have you been able to control irritations or frustrations in your life?]]="Almost never",3,IF(Form_Responses[[#This Row],[7. In the last month, how often have you been able to control irritations or frustrations in your life?]]="Sometimes",2,IF(Form_Responses[[#This Row],[7. In the last month, how often have you been able to control irritations or frustrations in your life?]]="Fairly often",1,0))))</f>
        <v>1</v>
      </c>
      <c r="BI23" s="3" t="s">
        <v>88</v>
      </c>
      <c r="BJ23" s="4">
        <f>IF(Form_Responses[[#This Row],[8. In the last month, how often have you felt that you were managing your academic and personal responsibilities well?]]="Never",4,IF(Form_Responses[[#This Row],[8. In the last month, how often have you felt that you were managing your academic and personal responsibilities well?]]="Almost never",3,IF(Form_Responses[[#This Row],[8. In the last month, how often have you felt that you were managing your academic and personal responsibilities well?]]="Sometimes",2,IF(Form_Responses[[#This Row],[8. In the last month, how often have you felt that you were managing your academic and personal responsibilities well?]]="Fairly often",1,0))))</f>
        <v>1</v>
      </c>
      <c r="BK23" s="3" t="s">
        <v>88</v>
      </c>
      <c r="BL23" s="5">
        <f>IF(Form_Responses[[#This Row],[9. In the last month, how often have you been angered or frustrated by situations outside your control, such as finances, academics, or relationships?]]="Never",0,IF(Form_Responses[[#This Row],[9. In the last month, how often have you been angered or frustrated by situations outside your control, such as finances, academics, or relationships?]]="Almost never",1,IF(Form_Responses[[#This Row],[9. In the last month, how often have you been angered or frustrated by situations outside your control, such as finances, academics, or relationships?]]="Sometimes",2,IF(Form_Responses[[#This Row],[9. In the last month, how often have you been angered or frustrated by situations outside your control, such as finances, academics, or relationships?]]="Fairly often",3,4))))</f>
        <v>3</v>
      </c>
      <c r="BM23" s="3" t="s">
        <v>90</v>
      </c>
      <c r="BN23" s="4">
        <f>IF(Form_Responses[[#This Row],[10. In the last month, how often have you felt that difficulties were piling up so much that you could not overcome them?]]="Never",0,IF(Form_Responses[[#This Row],[10. In the last month, how often have you felt that difficulties were piling up so much that you could not overcome them?]]="Almost never",1,IF(Form_Responses[[#This Row],[10. In the last month, how often have you felt that difficulties were piling up so much that you could not overcome them?]]="Sometimes",2,IF(Form_Responses[[#This Row],[10. In the last month, how often have you felt that difficulties were piling up so much that you could not overcome them?]]="Fairly often",3,4))))</f>
        <v>1</v>
      </c>
      <c r="BO23" s="4">
        <f>SUM(Form_Responses[[#This Row],[Score17]],Form_Responses[[#This Row],[Score18]],Form_Responses[[#This Row],[Score19]],Form_Responses[[#This Row],[Score20]],Form_Responses[[#This Row],[Score21]],Form_Responses[[#This Row],[Score22]],Form_Responses[[#This Row],[Score23]],Form_Responses[[#This Row],[Score24]],Form_Responses[[#This Row],[Score25]],Form_Responses[[#This Row],[Score26]])</f>
        <v>17</v>
      </c>
      <c r="BP23" s="4" t="str">
        <f>IF(Form_Responses[[#This Row],[Anxiety Score2]]&lt;=13,"Low stress",IF(Form_Responses[[#This Row],[Anxiety Score2]]&lt;=26,"Moderate stress","High stress"))</f>
        <v xml:space="preserve">Moderate stress</v>
      </c>
      <c r="BQ23" s="3" t="s">
        <v>76</v>
      </c>
      <c r="BR23" s="3" t="s">
        <v>76</v>
      </c>
      <c r="BS23" s="3" t="s">
        <v>143</v>
      </c>
      <c r="BT23" s="3" t="s">
        <v>220</v>
      </c>
      <c r="BU23" s="3" t="s">
        <v>106</v>
      </c>
      <c r="BV23" s="3" t="s">
        <v>221</v>
      </c>
      <c r="BW23" s="3" t="s">
        <v>222</v>
      </c>
      <c r="BX23" s="3" t="s">
        <v>223</v>
      </c>
    </row>
    <row r="24" ht="22.5" customHeight="1">
      <c r="A24" s="2">
        <v>46192.749425833332</v>
      </c>
      <c r="B24" s="3" t="s">
        <v>76</v>
      </c>
      <c r="C24" s="3" t="s">
        <v>154</v>
      </c>
      <c r="D24" s="3" t="s">
        <v>78</v>
      </c>
      <c r="E24" s="3" t="s">
        <v>207</v>
      </c>
      <c r="F24" s="3" t="s">
        <v>224</v>
      </c>
      <c r="G24" s="3" t="s">
        <v>225</v>
      </c>
      <c r="H24" s="3" t="s">
        <v>101</v>
      </c>
      <c r="I24" s="3" t="s">
        <v>102</v>
      </c>
      <c r="J24" s="3" t="s">
        <v>160</v>
      </c>
      <c r="K24" s="3" t="s">
        <v>85</v>
      </c>
      <c r="L24" s="4">
        <f>IF(K24="Not at all",0,IF(K24="Several days",1,IF(K24="More than half the days",2,3)))</f>
        <v>0</v>
      </c>
      <c r="M24" s="3" t="s">
        <v>85</v>
      </c>
      <c r="N24" s="4">
        <f>IF(M24="Not at all",0,IF(M24="Several days",1,IF(M24="More than half the days",2,3)))</f>
        <v>0</v>
      </c>
      <c r="O24" s="3" t="s">
        <v>85</v>
      </c>
      <c r="P24" s="5">
        <f>IF(O24="Not at all",0,IF(O24="Several days",1,IF(O24="More than half the days",2,3)))</f>
        <v>0</v>
      </c>
      <c r="Q24" s="3" t="s">
        <v>86</v>
      </c>
      <c r="R24" s="4">
        <f>IF(Q24="Not at all",0,IF(Q24="Several days",1,IF(Q24="More than half the days",2,3)))</f>
        <v>1</v>
      </c>
      <c r="S24" s="3" t="s">
        <v>87</v>
      </c>
      <c r="T24" s="4">
        <f>IF(S24="Not at all",0,IF(S24="Several days",1,IF(S24="More than half the days",2,3)))</f>
        <v>2</v>
      </c>
      <c r="U24" s="3" t="s">
        <v>87</v>
      </c>
      <c r="V24" s="4">
        <f>IF(U24="Not at all",0,IF(U24="Several days",1,IF(U24="More than half the days",2,3)))</f>
        <v>2</v>
      </c>
      <c r="W24" s="3" t="s">
        <v>86</v>
      </c>
      <c r="X24" s="4">
        <f>IF(W24="Not at all",0,IF(W24="Several days",1,IF(W24="More than half the days",2,3)))</f>
        <v>1</v>
      </c>
      <c r="Y24" s="3" t="s">
        <v>85</v>
      </c>
      <c r="Z24" s="4">
        <f>IF(Y24="Not at all",0,IF(Y24="Several days",1,IF(Y24="More than half the days",2,3)))</f>
        <v>0</v>
      </c>
      <c r="AA24" s="3" t="s">
        <v>85</v>
      </c>
      <c r="AB24" s="4">
        <f>IF(AA24="Not at all",0,IF(AA24="Several days",1,IF(AA24="More than half the days",2,3)))</f>
        <v>0</v>
      </c>
      <c r="AC24" s="4">
        <f>SUM(Form_Responses[[#This Row],[Score]],Form_Responses[[#This Row],[Score2]],Form_Responses[[#This Row],[Score3]],Form_Responses[[#This Row],[Score4]],Form_Responses[[#This Row],[Score5]],Form_Responses[[#This Row],[Score6]],Form_Responses[[#This Row],[Score7]],Form_Responses[[#This Row],[Score8]],Form_Responses[[#This Row],[Score9]])</f>
        <v>6</v>
      </c>
      <c r="AD24" s="4" t="str">
        <f>IF(Form_Responses[[#This Row],[Depression Score ]]&lt;=4,"Minimal symptoms",IF(Form_Responses[[#This Row],[Depression Score ]]&lt;=9,"Mild Depression",IF(Form_Responses[[#This Row],[Depression Score ]]&lt;=14,"Moderate depression",IF(Form_Responses[[#This Row],[Depression Score ]]&lt;=19,"Moderately severe depression","Severe depression"))))</f>
        <v xml:space="preserve">Mild Depression</v>
      </c>
      <c r="AE24" s="3" t="s">
        <v>85</v>
      </c>
      <c r="AF24" s="4">
        <f>IF(AE24="Not at all",0,IF(AE24="Several days",1,IF(AE24="More than half the days",2,3)))</f>
        <v>0</v>
      </c>
      <c r="AG24" s="3" t="s">
        <v>85</v>
      </c>
      <c r="AH24" s="4">
        <f>IF(AG24="Not at all",0,IF(AG24="Several days",1,IF(AG24="More than half the days",2,3)))</f>
        <v>0</v>
      </c>
      <c r="AI24" s="3" t="s">
        <v>86</v>
      </c>
      <c r="AJ24" s="4">
        <f>IF(AI24="Not at all",0,IF(AI24="Several days",1,IF(AI24="More than half the days",2,3)))</f>
        <v>1</v>
      </c>
      <c r="AK24" s="3" t="s">
        <v>86</v>
      </c>
      <c r="AL24" s="4">
        <f>IF(AK24="Not at all",0,IF(AK24="Several days",1,IF(AK24="More than half the days",2,3)))</f>
        <v>1</v>
      </c>
      <c r="AM24" s="3" t="s">
        <v>86</v>
      </c>
      <c r="AN24" s="4">
        <f>IF(AM24="Not at all",0,IF(AM24="Several days",1,IF(AM24="More than half the days",2,3)))</f>
        <v>1</v>
      </c>
      <c r="AO24" s="3" t="s">
        <v>85</v>
      </c>
      <c r="AP24" s="4">
        <f>IF(AO24="Not at all",0,IF(AO24="Several days",1,IF(AO24="More than half the days",2,3)))</f>
        <v>0</v>
      </c>
      <c r="AQ24" s="3" t="s">
        <v>85</v>
      </c>
      <c r="AR24" s="4">
        <f>IF(AQ24="Not at all",0,IF(AQ24="Several days",1,IF(AQ24="More than half the days",2,3)))</f>
        <v>0</v>
      </c>
      <c r="AS24" s="4">
        <f>SUM(Form_Responses[[#This Row],[Score16]],Form_Responses[[#This Row],[Score10]],Form_Responses[[#This Row],[Score11]],Form_Responses[[#This Row],[Score12]],Form_Responses[[#This Row],[Score13]],Form_Responses[[#This Row],[Score14]],Form_Responses[[#This Row],[Score15]])</f>
        <v>3</v>
      </c>
      <c r="AT24" s="4" t="str">
        <f>IF(Form_Responses[[#This Row],[Anxiety Score]]&lt;=4,"Minimal anxiety",IF(Form_Responses[[#This Row],[Anxiety Score]]&lt;=9,"Mild anxiety",IF(Form_Responses[[#This Row],[Anxiety Score]]&lt;=14,"Moderate anxiety","Severe anxiety")))</f>
        <v xml:space="preserve">Minimal anxiety</v>
      </c>
      <c r="AU24" s="3" t="s">
        <v>89</v>
      </c>
      <c r="AV24" s="4">
        <f>IF(Form_Responses[[#This Row],[1. In the last month, how often have you been upset because of unexpected situations related to academics, finances, or personal life?]]="Never",0,IF(Form_Responses[[#This Row],[1. In the last month, how often have you been upset because of unexpected situations related to academics, finances, or personal life?]]="Almost never",1,IF(Form_Responses[[#This Row],[1. In the last month, how often have you been upset because of unexpected situations related to academics, finances, or personal life?]]="Sometimes",2,IF(Form_Responses[[#This Row],[1. In the last month, how often have you been upset because of unexpected situations related to academics, finances, or personal life?]]="Fairly often",3,4))))</f>
        <v>2</v>
      </c>
      <c r="AW24" s="3" t="s">
        <v>88</v>
      </c>
      <c r="AX24" s="5">
        <f>IF(Form_Responses[[#This Row],[2. In the last month, how often have you felt unable to control important things in your academic or personal life?]]="Never",0,IF(Form_Responses[[#This Row],[2. In the last month, how often have you felt unable to control important things in your academic or personal life?]]="Almost never",1,IF(Form_Responses[[#This Row],[2. In the last month, how often have you felt unable to control important things in your academic or personal life?]]="Sometimes",2,IF(Form_Responses[[#This Row],[2. In the last month, how often have you felt unable to control important things in your academic or personal life?]]="Fairly often",3,4))))</f>
        <v>3</v>
      </c>
      <c r="AY24" s="3" t="s">
        <v>105</v>
      </c>
      <c r="AZ24" s="4">
        <f>IF(Form_Responses[[#This Row],[3. In the last month, how often have you felt nervous or stressed because of university responsibilities or personal challenges?]]="Never",0,IF(Form_Responses[[#This Row],[3. In the last month, how often have you felt nervous or stressed because of university responsibilities or personal challenges?]]="Almost never",1,IF(Form_Responses[[#This Row],[3. In the last month, how often have you felt nervous or stressed because of university responsibilities or personal challenges?]]="Sometimes",2,IF(Form_Responses[[#This Row],[3. In the last month, how often have you felt nervous or stressed because of university responsibilities or personal challenges?]]="Fairly often",3,4))))</f>
        <v>4</v>
      </c>
      <c r="BA24" s="3" t="s">
        <v>89</v>
      </c>
      <c r="BB24" s="4">
        <f>IF(Form_Responses[[#This Row],[4. In the last month, how often have you felt confident about your ability to handle academic or personal problems?]]="Never",4,IF(Form_Responses[[#This Row],[4. In the last month, how often have you felt confident about your ability to handle academic or personal problems?]]="Almost never",3,IF(Form_Responses[[#This Row],[4. In the last month, how often have you felt confident about your ability to handle academic or personal problems?]]="Sometimes",2,IF(Form_Responses[[#This Row],[4. In the last month, how often have you felt confident about your ability to handle academic or personal problems?]]="Fairly often",1,0))))</f>
        <v>2</v>
      </c>
      <c r="BC24" s="3" t="s">
        <v>105</v>
      </c>
      <c r="BD24" s="4">
        <f>IF(Form_Responses[[#This Row],[5. In the last month, how often have you felt that things were going well in your studies or personal life?]]="Never",4,IF(Form_Responses[[#This Row],[5. In the last month, how often have you felt that things were going well in your studies or personal life?]]="Almost never",3,IF(Form_Responses[[#This Row],[5. In the last month, how often have you felt that things were going well in your studies or personal life?]]="Sometimes",2,IF(Form_Responses[[#This Row],[5. In the last month, how often have you felt that things were going well in your studies or personal life?]]="Fairly often",1,0))))</f>
        <v>0</v>
      </c>
      <c r="BE24" s="3" t="s">
        <v>89</v>
      </c>
      <c r="BF24" s="4">
        <f>IF(Form_Responses[[#This Row],[6. In the last month, how often have you felt unable to cope with coursework, deadlines, or daily responsibilities?]]="Never",0,IF(Form_Responses[[#This Row],[6. In the last month, how often have you felt unable to cope with coursework, deadlines, or daily responsibilities?]]="Almost never",1,IF(Form_Responses[[#This Row],[6. In the last month, how often have you felt unable to cope with coursework, deadlines, or daily responsibilities?]]="Sometimes",2,IF(Form_Responses[[#This Row],[6. In the last month, how often have you felt unable to cope with coursework, deadlines, or daily responsibilities?]]="Fairly often",3,4))))</f>
        <v>2</v>
      </c>
      <c r="BG24" s="3" t="s">
        <v>105</v>
      </c>
      <c r="BH24" s="4">
        <f>IF(Form_Responses[[#This Row],[7. In the last month, how often have you been able to control irritations or frustrations in your life?]]="Never",4,IF(Form_Responses[[#This Row],[7. In the last month, how often have you been able to control irritations or frustrations in your life?]]="Almost never",3,IF(Form_Responses[[#This Row],[7. In the last month, how often have you been able to control irritations or frustrations in your life?]]="Sometimes",2,IF(Form_Responses[[#This Row],[7. In the last month, how often have you been able to control irritations or frustrations in your life?]]="Fairly often",1,0))))</f>
        <v>0</v>
      </c>
      <c r="BI24" s="3" t="s">
        <v>88</v>
      </c>
      <c r="BJ24" s="4">
        <f>IF(Form_Responses[[#This Row],[8. In the last month, how often have you felt that you were managing your academic and personal responsibilities well?]]="Never",4,IF(Form_Responses[[#This Row],[8. In the last month, how often have you felt that you were managing your academic and personal responsibilities well?]]="Almost never",3,IF(Form_Responses[[#This Row],[8. In the last month, how often have you felt that you were managing your academic and personal responsibilities well?]]="Sometimes",2,IF(Form_Responses[[#This Row],[8. In the last month, how often have you felt that you were managing your academic and personal responsibilities well?]]="Fairly often",1,0))))</f>
        <v>1</v>
      </c>
      <c r="BK24" s="3" t="s">
        <v>89</v>
      </c>
      <c r="BL24" s="5">
        <f>IF(Form_Responses[[#This Row],[9. In the last month, how often have you been angered or frustrated by situations outside your control, such as finances, academics, or relationships?]]="Never",0,IF(Form_Responses[[#This Row],[9. In the last month, how often have you been angered or frustrated by situations outside your control, such as finances, academics, or relationships?]]="Almost never",1,IF(Form_Responses[[#This Row],[9. In the last month, how often have you been angered or frustrated by situations outside your control, such as finances, academics, or relationships?]]="Sometimes",2,IF(Form_Responses[[#This Row],[9. In the last month, how often have you been angered or frustrated by situations outside your control, such as finances, academics, or relationships?]]="Fairly often",3,4))))</f>
        <v>2</v>
      </c>
      <c r="BM24" s="3" t="s">
        <v>90</v>
      </c>
      <c r="BN24" s="4">
        <f>IF(Form_Responses[[#This Row],[10. In the last month, how often have you felt that difficulties were piling up so much that you could not overcome them?]]="Never",0,IF(Form_Responses[[#This Row],[10. In the last month, how often have you felt that difficulties were piling up so much that you could not overcome them?]]="Almost never",1,IF(Form_Responses[[#This Row],[10. In the last month, how often have you felt that difficulties were piling up so much that you could not overcome them?]]="Sometimes",2,IF(Form_Responses[[#This Row],[10. In the last month, how often have you felt that difficulties were piling up so much that you could not overcome them?]]="Fairly often",3,4))))</f>
        <v>1</v>
      </c>
      <c r="BO24" s="4">
        <f>SUM(Form_Responses[[#This Row],[Score17]],Form_Responses[[#This Row],[Score18]],Form_Responses[[#This Row],[Score19]],Form_Responses[[#This Row],[Score20]],Form_Responses[[#This Row],[Score21]],Form_Responses[[#This Row],[Score22]],Form_Responses[[#This Row],[Score23]],Form_Responses[[#This Row],[Score24]],Form_Responses[[#This Row],[Score25]],Form_Responses[[#This Row],[Score26]])</f>
        <v>17</v>
      </c>
      <c r="BP24" s="4" t="str">
        <f>IF(Form_Responses[[#This Row],[Anxiety Score2]]&lt;=13,"Low stress",IF(Form_Responses[[#This Row],[Anxiety Score2]]&lt;=26,"Moderate stress","High stress"))</f>
        <v xml:space="preserve">Moderate stress</v>
      </c>
      <c r="BQ24" s="3" t="s">
        <v>76</v>
      </c>
      <c r="BR24" s="3" t="s">
        <v>91</v>
      </c>
      <c r="BS24" s="3" t="s">
        <v>226</v>
      </c>
      <c r="BT24" s="3" t="s">
        <v>227</v>
      </c>
      <c r="BU24" s="3" t="s">
        <v>76</v>
      </c>
      <c r="BV24" s="3" t="s">
        <v>228</v>
      </c>
      <c r="BW24" s="3" t="s">
        <v>229</v>
      </c>
      <c r="BX24" s="3" t="s">
        <v>230</v>
      </c>
    </row>
    <row r="25" ht="22.5" customHeight="1">
      <c r="A25" s="2">
        <v>46192.863409583333</v>
      </c>
      <c r="B25" s="3" t="s">
        <v>76</v>
      </c>
      <c r="C25" s="3" t="s">
        <v>154</v>
      </c>
      <c r="D25" s="3" t="s">
        <v>78</v>
      </c>
      <c r="E25" s="3" t="s">
        <v>207</v>
      </c>
      <c r="F25" s="3" t="s">
        <v>231</v>
      </c>
      <c r="G25" s="3" t="s">
        <v>81</v>
      </c>
      <c r="H25" s="3" t="s">
        <v>101</v>
      </c>
      <c r="I25" s="3" t="s">
        <v>114</v>
      </c>
      <c r="J25" s="3" t="s">
        <v>84</v>
      </c>
      <c r="K25" s="3" t="s">
        <v>85</v>
      </c>
      <c r="L25" s="4">
        <f>IF(K25="Not at all",0,IF(K25="Several days",1,IF(K25="More than half the days",2,3)))</f>
        <v>0</v>
      </c>
      <c r="M25" s="3" t="s">
        <v>85</v>
      </c>
      <c r="N25" s="4">
        <f>IF(M25="Not at all",0,IF(M25="Several days",1,IF(M25="More than half the days",2,3)))</f>
        <v>0</v>
      </c>
      <c r="O25" s="3" t="s">
        <v>104</v>
      </c>
      <c r="P25" s="5">
        <f>IF(O25="Not at all",0,IF(O25="Several days",1,IF(O25="More than half the days",2,3)))</f>
        <v>3</v>
      </c>
      <c r="Q25" s="3" t="s">
        <v>87</v>
      </c>
      <c r="R25" s="4">
        <f>IF(Q25="Not at all",0,IF(Q25="Several days",1,IF(Q25="More than half the days",2,3)))</f>
        <v>2</v>
      </c>
      <c r="S25" s="3" t="s">
        <v>104</v>
      </c>
      <c r="T25" s="4">
        <f>IF(S25="Not at all",0,IF(S25="Several days",1,IF(S25="More than half the days",2,3)))</f>
        <v>3</v>
      </c>
      <c r="U25" s="3" t="s">
        <v>85</v>
      </c>
      <c r="V25" s="4">
        <f>IF(U25="Not at all",0,IF(U25="Several days",1,IF(U25="More than half the days",2,3)))</f>
        <v>0</v>
      </c>
      <c r="W25" s="3" t="s">
        <v>86</v>
      </c>
      <c r="X25" s="4">
        <f>IF(W25="Not at all",0,IF(W25="Several days",1,IF(W25="More than half the days",2,3)))</f>
        <v>1</v>
      </c>
      <c r="Y25" s="3" t="s">
        <v>86</v>
      </c>
      <c r="Z25" s="4">
        <f>IF(Y25="Not at all",0,IF(Y25="Several days",1,IF(Y25="More than half the days",2,3)))</f>
        <v>1</v>
      </c>
      <c r="AA25" s="3" t="s">
        <v>85</v>
      </c>
      <c r="AB25" s="4">
        <f>IF(AA25="Not at all",0,IF(AA25="Several days",1,IF(AA25="More than half the days",2,3)))</f>
        <v>0</v>
      </c>
      <c r="AC25" s="4">
        <f>SUM(Form_Responses[[#This Row],[Score]],Form_Responses[[#This Row],[Score2]],Form_Responses[[#This Row],[Score3]],Form_Responses[[#This Row],[Score4]],Form_Responses[[#This Row],[Score5]],Form_Responses[[#This Row],[Score6]],Form_Responses[[#This Row],[Score7]],Form_Responses[[#This Row],[Score8]],Form_Responses[[#This Row],[Score9]])</f>
        <v>10</v>
      </c>
      <c r="AD25" s="4" t="str">
        <f>IF(Form_Responses[[#This Row],[Depression Score ]]&lt;=4,"Minimal symptoms",IF(Form_Responses[[#This Row],[Depression Score ]]&lt;=9,"Mild Depression",IF(Form_Responses[[#This Row],[Depression Score ]]&lt;=14,"Moderate depression",IF(Form_Responses[[#This Row],[Depression Score ]]&lt;=19,"Moderately severe depression","Severe depression"))))</f>
        <v xml:space="preserve">Moderate depression</v>
      </c>
      <c r="AE25" s="3" t="s">
        <v>86</v>
      </c>
      <c r="AF25" s="4">
        <f>IF(AE25="Not at all",0,IF(AE25="Several days",1,IF(AE25="More than half the days",2,3)))</f>
        <v>1</v>
      </c>
      <c r="AG25" s="3" t="s">
        <v>86</v>
      </c>
      <c r="AH25" s="4">
        <f>IF(AG25="Not at all",0,IF(AG25="Several days",1,IF(AG25="More than half the days",2,3)))</f>
        <v>1</v>
      </c>
      <c r="AI25" s="3" t="s">
        <v>85</v>
      </c>
      <c r="AJ25" s="4">
        <f>IF(AI25="Not at all",0,IF(AI25="Several days",1,IF(AI25="More than half the days",2,3)))</f>
        <v>0</v>
      </c>
      <c r="AK25" s="3" t="s">
        <v>86</v>
      </c>
      <c r="AL25" s="4">
        <f>IF(AK25="Not at all",0,IF(AK25="Several days",1,IF(AK25="More than half the days",2,3)))</f>
        <v>1</v>
      </c>
      <c r="AM25" s="3" t="s">
        <v>86</v>
      </c>
      <c r="AN25" s="4">
        <f>IF(AM25="Not at all",0,IF(AM25="Several days",1,IF(AM25="More than half the days",2,3)))</f>
        <v>1</v>
      </c>
      <c r="AO25" s="3" t="s">
        <v>86</v>
      </c>
      <c r="AP25" s="4">
        <f>IF(AO25="Not at all",0,IF(AO25="Several days",1,IF(AO25="More than half the days",2,3)))</f>
        <v>1</v>
      </c>
      <c r="AQ25" s="3" t="s">
        <v>86</v>
      </c>
      <c r="AR25" s="4">
        <f>IF(AQ25="Not at all",0,IF(AQ25="Several days",1,IF(AQ25="More than half the days",2,3)))</f>
        <v>1</v>
      </c>
      <c r="AS25" s="4">
        <f>SUM(Form_Responses[[#This Row],[Score16]],Form_Responses[[#This Row],[Score10]],Form_Responses[[#This Row],[Score11]],Form_Responses[[#This Row],[Score12]],Form_Responses[[#This Row],[Score13]],Form_Responses[[#This Row],[Score14]],Form_Responses[[#This Row],[Score15]])</f>
        <v>6</v>
      </c>
      <c r="AT25" s="4" t="str">
        <f>IF(Form_Responses[[#This Row],[Anxiety Score]]&lt;=4,"Minimal anxiety",IF(Form_Responses[[#This Row],[Anxiety Score]]&lt;=9,"Mild anxiety",IF(Form_Responses[[#This Row],[Anxiety Score]]&lt;=14,"Moderate anxiety","Severe anxiety")))</f>
        <v xml:space="preserve">Mild anxiety</v>
      </c>
      <c r="AU25" s="3" t="s">
        <v>88</v>
      </c>
      <c r="AV25" s="4">
        <f>IF(Form_Responses[[#This Row],[1. In the last month, how often have you been upset because of unexpected situations related to academics, finances, or personal life?]]="Never",0,IF(Form_Responses[[#This Row],[1. In the last month, how often have you been upset because of unexpected situations related to academics, finances, or personal life?]]="Almost never",1,IF(Form_Responses[[#This Row],[1. In the last month, how often have you been upset because of unexpected situations related to academics, finances, or personal life?]]="Sometimes",2,IF(Form_Responses[[#This Row],[1. In the last month, how often have you been upset because of unexpected situations related to academics, finances, or personal life?]]="Fairly often",3,4))))</f>
        <v>3</v>
      </c>
      <c r="AW25" s="3" t="s">
        <v>88</v>
      </c>
      <c r="AX25" s="5">
        <f>IF(Form_Responses[[#This Row],[2. In the last month, how often have you felt unable to control important things in your academic or personal life?]]="Never",0,IF(Form_Responses[[#This Row],[2. In the last month, how often have you felt unable to control important things in your academic or personal life?]]="Almost never",1,IF(Form_Responses[[#This Row],[2. In the last month, how often have you felt unable to control important things in your academic or personal life?]]="Sometimes",2,IF(Form_Responses[[#This Row],[2. In the last month, how often have you felt unable to control important things in your academic or personal life?]]="Fairly often",3,4))))</f>
        <v>3</v>
      </c>
      <c r="AY25" s="3" t="s">
        <v>88</v>
      </c>
      <c r="AZ25" s="4">
        <f>IF(Form_Responses[[#This Row],[3. In the last month, how often have you felt nervous or stressed because of university responsibilities or personal challenges?]]="Never",0,IF(Form_Responses[[#This Row],[3. In the last month, how often have you felt nervous or stressed because of university responsibilities or personal challenges?]]="Almost never",1,IF(Form_Responses[[#This Row],[3. In the last month, how often have you felt nervous or stressed because of university responsibilities or personal challenges?]]="Sometimes",2,IF(Form_Responses[[#This Row],[3. In the last month, how often have you felt nervous or stressed because of university responsibilities or personal challenges?]]="Fairly often",3,4))))</f>
        <v>3</v>
      </c>
      <c r="BA25" s="3" t="s">
        <v>88</v>
      </c>
      <c r="BB25" s="4">
        <f>IF(Form_Responses[[#This Row],[4. In the last month, how often have you felt confident about your ability to handle academic or personal problems?]]="Never",4,IF(Form_Responses[[#This Row],[4. In the last month, how often have you felt confident about your ability to handle academic or personal problems?]]="Almost never",3,IF(Form_Responses[[#This Row],[4. In the last month, how often have you felt confident about your ability to handle academic or personal problems?]]="Sometimes",2,IF(Form_Responses[[#This Row],[4. In the last month, how often have you felt confident about your ability to handle academic or personal problems?]]="Fairly often",1,0))))</f>
        <v>1</v>
      </c>
      <c r="BC25" s="3" t="s">
        <v>88</v>
      </c>
      <c r="BD25" s="4">
        <f>IF(Form_Responses[[#This Row],[5. In the last month, how often have you felt that things were going well in your studies or personal life?]]="Never",4,IF(Form_Responses[[#This Row],[5. In the last month, how often have you felt that things were going well in your studies or personal life?]]="Almost never",3,IF(Form_Responses[[#This Row],[5. In the last month, how often have you felt that things were going well in your studies or personal life?]]="Sometimes",2,IF(Form_Responses[[#This Row],[5. In the last month, how often have you felt that things were going well in your studies or personal life?]]="Fairly often",1,0))))</f>
        <v>1</v>
      </c>
      <c r="BE25" s="3" t="s">
        <v>88</v>
      </c>
      <c r="BF25" s="4">
        <f>IF(Form_Responses[[#This Row],[6. In the last month, how often have you felt unable to cope with coursework, deadlines, or daily responsibilities?]]="Never",0,IF(Form_Responses[[#This Row],[6. In the last month, how often have you felt unable to cope with coursework, deadlines, or daily responsibilities?]]="Almost never",1,IF(Form_Responses[[#This Row],[6. In the last month, how often have you felt unable to cope with coursework, deadlines, or daily responsibilities?]]="Sometimes",2,IF(Form_Responses[[#This Row],[6. In the last month, how often have you felt unable to cope with coursework, deadlines, or daily responsibilities?]]="Fairly often",3,4))))</f>
        <v>3</v>
      </c>
      <c r="BG25" s="3" t="s">
        <v>88</v>
      </c>
      <c r="BH25" s="4">
        <f>IF(Form_Responses[[#This Row],[7. In the last month, how often have you been able to control irritations or frustrations in your life?]]="Never",4,IF(Form_Responses[[#This Row],[7. In the last month, how often have you been able to control irritations or frustrations in your life?]]="Almost never",3,IF(Form_Responses[[#This Row],[7. In the last month, how often have you been able to control irritations or frustrations in your life?]]="Sometimes",2,IF(Form_Responses[[#This Row],[7. In the last month, how often have you been able to control irritations or frustrations in your life?]]="Fairly often",1,0))))</f>
        <v>1</v>
      </c>
      <c r="BI25" s="3" t="s">
        <v>88</v>
      </c>
      <c r="BJ25" s="4">
        <f>IF(Form_Responses[[#This Row],[8. In the last month, how often have you felt that you were managing your academic and personal responsibilities well?]]="Never",4,IF(Form_Responses[[#This Row],[8. In the last month, how often have you felt that you were managing your academic and personal responsibilities well?]]="Almost never",3,IF(Form_Responses[[#This Row],[8. In the last month, how often have you felt that you were managing your academic and personal responsibilities well?]]="Sometimes",2,IF(Form_Responses[[#This Row],[8. In the last month, how often have you felt that you were managing your academic and personal responsibilities well?]]="Fairly often",1,0))))</f>
        <v>1</v>
      </c>
      <c r="BK25" s="3" t="s">
        <v>88</v>
      </c>
      <c r="BL25" s="5">
        <f>IF(Form_Responses[[#This Row],[9. In the last month, how often have you been angered or frustrated by situations outside your control, such as finances, academics, or relationships?]]="Never",0,IF(Form_Responses[[#This Row],[9. In the last month, how often have you been angered or frustrated by situations outside your control, such as finances, academics, or relationships?]]="Almost never",1,IF(Form_Responses[[#This Row],[9. In the last month, how often have you been angered or frustrated by situations outside your control, such as finances, academics, or relationships?]]="Sometimes",2,IF(Form_Responses[[#This Row],[9. In the last month, how often have you been angered or frustrated by situations outside your control, such as finances, academics, or relationships?]]="Fairly often",3,4))))</f>
        <v>3</v>
      </c>
      <c r="BM25" s="3" t="s">
        <v>88</v>
      </c>
      <c r="BN25" s="4">
        <f>IF(Form_Responses[[#This Row],[10. In the last month, how often have you felt that difficulties were piling up so much that you could not overcome them?]]="Never",0,IF(Form_Responses[[#This Row],[10. In the last month, how often have you felt that difficulties were piling up so much that you could not overcome them?]]="Almost never",1,IF(Form_Responses[[#This Row],[10. In the last month, how often have you felt that difficulties were piling up so much that you could not overcome them?]]="Sometimes",2,IF(Form_Responses[[#This Row],[10. In the last month, how often have you felt that difficulties were piling up so much that you could not overcome them?]]="Fairly often",3,4))))</f>
        <v>3</v>
      </c>
      <c r="BO25" s="4">
        <f>SUM(Form_Responses[[#This Row],[Score17]],Form_Responses[[#This Row],[Score18]],Form_Responses[[#This Row],[Score19]],Form_Responses[[#This Row],[Score20]],Form_Responses[[#This Row],[Score21]],Form_Responses[[#This Row],[Score22]],Form_Responses[[#This Row],[Score23]],Form_Responses[[#This Row],[Score24]],Form_Responses[[#This Row],[Score25]],Form_Responses[[#This Row],[Score26]])</f>
        <v>22</v>
      </c>
      <c r="BP25" s="4" t="str">
        <f>IF(Form_Responses[[#This Row],[Anxiety Score2]]&lt;=13,"Low stress",IF(Form_Responses[[#This Row],[Anxiety Score2]]&lt;=26,"Moderate stress","High stress"))</f>
        <v xml:space="preserve">Moderate stress</v>
      </c>
      <c r="BQ25" s="3" t="s">
        <v>76</v>
      </c>
      <c r="BR25" s="3" t="s">
        <v>106</v>
      </c>
      <c r="BS25" s="3" t="s">
        <v>232</v>
      </c>
      <c r="BT25" s="3" t="s">
        <v>214</v>
      </c>
      <c r="BU25" s="3" t="s">
        <v>76</v>
      </c>
      <c r="BV25" s="3" t="s">
        <v>199</v>
      </c>
      <c r="BW25" s="3" t="s">
        <v>233</v>
      </c>
      <c r="BX25" s="3" t="s">
        <v>234</v>
      </c>
    </row>
    <row r="26" ht="22.5" customHeight="1">
      <c r="A26" s="2">
        <v>46192.912457615741</v>
      </c>
      <c r="B26" s="3" t="s">
        <v>76</v>
      </c>
      <c r="C26" s="3" t="s">
        <v>154</v>
      </c>
      <c r="D26" s="3" t="s">
        <v>78</v>
      </c>
      <c r="E26" s="3" t="s">
        <v>218</v>
      </c>
      <c r="F26" s="3" t="s">
        <v>235</v>
      </c>
      <c r="G26" s="3" t="s">
        <v>225</v>
      </c>
      <c r="H26" s="3" t="s">
        <v>122</v>
      </c>
      <c r="I26" s="3" t="s">
        <v>102</v>
      </c>
      <c r="J26" s="3" t="s">
        <v>160</v>
      </c>
      <c r="K26" s="3" t="s">
        <v>86</v>
      </c>
      <c r="L26" s="4">
        <f>IF(K26="Not at all",0,IF(K26="Several days",1,IF(K26="More than half the days",2,3)))</f>
        <v>1</v>
      </c>
      <c r="M26" s="3" t="s">
        <v>86</v>
      </c>
      <c r="N26" s="4">
        <f>IF(M26="Not at all",0,IF(M26="Several days",1,IF(M26="More than half the days",2,3)))</f>
        <v>1</v>
      </c>
      <c r="O26" s="3" t="s">
        <v>86</v>
      </c>
      <c r="P26" s="5">
        <f>IF(O26="Not at all",0,IF(O26="Several days",1,IF(O26="More than half the days",2,3)))</f>
        <v>1</v>
      </c>
      <c r="Q26" s="3" t="s">
        <v>86</v>
      </c>
      <c r="R26" s="4">
        <f>IF(Q26="Not at all",0,IF(Q26="Several days",1,IF(Q26="More than half the days",2,3)))</f>
        <v>1</v>
      </c>
      <c r="S26" s="3" t="s">
        <v>86</v>
      </c>
      <c r="T26" s="4">
        <f>IF(S26="Not at all",0,IF(S26="Several days",1,IF(S26="More than half the days",2,3)))</f>
        <v>1</v>
      </c>
      <c r="U26" s="3" t="s">
        <v>86</v>
      </c>
      <c r="V26" s="4">
        <f>IF(U26="Not at all",0,IF(U26="Several days",1,IF(U26="More than half the days",2,3)))</f>
        <v>1</v>
      </c>
      <c r="W26" s="3" t="s">
        <v>104</v>
      </c>
      <c r="X26" s="4">
        <f>IF(W26="Not at all",0,IF(W26="Several days",1,IF(W26="More than half the days",2,3)))</f>
        <v>3</v>
      </c>
      <c r="Y26" s="3" t="s">
        <v>86</v>
      </c>
      <c r="Z26" s="4">
        <f>IF(Y26="Not at all",0,IF(Y26="Several days",1,IF(Y26="More than half the days",2,3)))</f>
        <v>1</v>
      </c>
      <c r="AA26" s="3" t="s">
        <v>85</v>
      </c>
      <c r="AB26" s="4">
        <f>IF(AA26="Not at all",0,IF(AA26="Several days",1,IF(AA26="More than half the days",2,3)))</f>
        <v>0</v>
      </c>
      <c r="AC26" s="4">
        <f>SUM(Form_Responses[[#This Row],[Score]],Form_Responses[[#This Row],[Score2]],Form_Responses[[#This Row],[Score3]],Form_Responses[[#This Row],[Score4]],Form_Responses[[#This Row],[Score5]],Form_Responses[[#This Row],[Score6]],Form_Responses[[#This Row],[Score7]],Form_Responses[[#This Row],[Score8]],Form_Responses[[#This Row],[Score9]])</f>
        <v>10</v>
      </c>
      <c r="AD26" s="4" t="str">
        <f>IF(Form_Responses[[#This Row],[Depression Score ]]&lt;=4,"Minimal symptoms",IF(Form_Responses[[#This Row],[Depression Score ]]&lt;=9,"Mild Depression",IF(Form_Responses[[#This Row],[Depression Score ]]&lt;=14,"Moderate depression",IF(Form_Responses[[#This Row],[Depression Score ]]&lt;=19,"Moderately severe depression","Severe depression"))))</f>
        <v xml:space="preserve">Moderate depression</v>
      </c>
      <c r="AE26" s="3" t="s">
        <v>85</v>
      </c>
      <c r="AF26" s="4">
        <f>IF(AE26="Not at all",0,IF(AE26="Several days",1,IF(AE26="More than half the days",2,3)))</f>
        <v>0</v>
      </c>
      <c r="AG26" s="3" t="s">
        <v>104</v>
      </c>
      <c r="AH26" s="4">
        <f>IF(AG26="Not at all",0,IF(AG26="Several days",1,IF(AG26="More than half the days",2,3)))</f>
        <v>3</v>
      </c>
      <c r="AI26" s="3" t="s">
        <v>104</v>
      </c>
      <c r="AJ26" s="4">
        <f>IF(AI26="Not at all",0,IF(AI26="Several days",1,IF(AI26="More than half the days",2,3)))</f>
        <v>3</v>
      </c>
      <c r="AK26" s="3" t="s">
        <v>86</v>
      </c>
      <c r="AL26" s="4">
        <f>IF(AK26="Not at all",0,IF(AK26="Several days",1,IF(AK26="More than half the days",2,3)))</f>
        <v>1</v>
      </c>
      <c r="AM26" s="3" t="s">
        <v>85</v>
      </c>
      <c r="AN26" s="4">
        <f>IF(AM26="Not at all",0,IF(AM26="Several days",1,IF(AM26="More than half the days",2,3)))</f>
        <v>0</v>
      </c>
      <c r="AO26" s="3" t="s">
        <v>87</v>
      </c>
      <c r="AP26" s="4">
        <f>IF(AO26="Not at all",0,IF(AO26="Several days",1,IF(AO26="More than half the days",2,3)))</f>
        <v>2</v>
      </c>
      <c r="AQ26" s="3" t="s">
        <v>85</v>
      </c>
      <c r="AR26" s="4">
        <f>IF(AQ26="Not at all",0,IF(AQ26="Several days",1,IF(AQ26="More than half the days",2,3)))</f>
        <v>0</v>
      </c>
      <c r="AS26" s="4">
        <f>SUM(Form_Responses[[#This Row],[Score16]],Form_Responses[[#This Row],[Score10]],Form_Responses[[#This Row],[Score11]],Form_Responses[[#This Row],[Score12]],Form_Responses[[#This Row],[Score13]],Form_Responses[[#This Row],[Score14]],Form_Responses[[#This Row],[Score15]])</f>
        <v>9</v>
      </c>
      <c r="AT26" s="4" t="str">
        <f>IF(Form_Responses[[#This Row],[Anxiety Score]]&lt;=4,"Minimal anxiety",IF(Form_Responses[[#This Row],[Anxiety Score]]&lt;=9,"Mild anxiety",IF(Form_Responses[[#This Row],[Anxiety Score]]&lt;=14,"Moderate anxiety","Severe anxiety")))</f>
        <v xml:space="preserve">Mild anxiety</v>
      </c>
      <c r="AU26" s="3" t="s">
        <v>105</v>
      </c>
      <c r="AV26" s="4">
        <f>IF(Form_Responses[[#This Row],[1. In the last month, how often have you been upset because of unexpected situations related to academics, finances, or personal life?]]="Never",0,IF(Form_Responses[[#This Row],[1. In the last month, how often have you been upset because of unexpected situations related to academics, finances, or personal life?]]="Almost never",1,IF(Form_Responses[[#This Row],[1. In the last month, how often have you been upset because of unexpected situations related to academics, finances, or personal life?]]="Sometimes",2,IF(Form_Responses[[#This Row],[1. In the last month, how often have you been upset because of unexpected situations related to academics, finances, or personal life?]]="Fairly often",3,4))))</f>
        <v>4</v>
      </c>
      <c r="AW26" s="3" t="s">
        <v>89</v>
      </c>
      <c r="AX26" s="5">
        <f>IF(Form_Responses[[#This Row],[2. In the last month, how often have you felt unable to control important things in your academic or personal life?]]="Never",0,IF(Form_Responses[[#This Row],[2. In the last month, how often have you felt unable to control important things in your academic or personal life?]]="Almost never",1,IF(Form_Responses[[#This Row],[2. In the last month, how often have you felt unable to control important things in your academic or personal life?]]="Sometimes",2,IF(Form_Responses[[#This Row],[2. In the last month, how often have you felt unable to control important things in your academic or personal life?]]="Fairly often",3,4))))</f>
        <v>2</v>
      </c>
      <c r="AY26" s="3" t="s">
        <v>105</v>
      </c>
      <c r="AZ26" s="4">
        <f>IF(Form_Responses[[#This Row],[3. In the last month, how often have you felt nervous or stressed because of university responsibilities or personal challenges?]]="Never",0,IF(Form_Responses[[#This Row],[3. In the last month, how often have you felt nervous or stressed because of university responsibilities or personal challenges?]]="Almost never",1,IF(Form_Responses[[#This Row],[3. In the last month, how often have you felt nervous or stressed because of university responsibilities or personal challenges?]]="Sometimes",2,IF(Form_Responses[[#This Row],[3. In the last month, how often have you felt nervous or stressed because of university responsibilities or personal challenges?]]="Fairly often",3,4))))</f>
        <v>4</v>
      </c>
      <c r="BA26" s="3" t="s">
        <v>105</v>
      </c>
      <c r="BB26" s="4">
        <f>IF(Form_Responses[[#This Row],[4. In the last month, how often have you felt confident about your ability to handle academic or personal problems?]]="Never",4,IF(Form_Responses[[#This Row],[4. In the last month, how often have you felt confident about your ability to handle academic or personal problems?]]="Almost never",3,IF(Form_Responses[[#This Row],[4. In the last month, how often have you felt confident about your ability to handle academic or personal problems?]]="Sometimes",2,IF(Form_Responses[[#This Row],[4. In the last month, how often have you felt confident about your ability to handle academic or personal problems?]]="Fairly often",1,0))))</f>
        <v>0</v>
      </c>
      <c r="BC26" s="3" t="s">
        <v>88</v>
      </c>
      <c r="BD26" s="4">
        <f>IF(Form_Responses[[#This Row],[5. In the last month, how often have you felt that things were going well in your studies or personal life?]]="Never",4,IF(Form_Responses[[#This Row],[5. In the last month, how often have you felt that things were going well in your studies or personal life?]]="Almost never",3,IF(Form_Responses[[#This Row],[5. In the last month, how often have you felt that things were going well in your studies or personal life?]]="Sometimes",2,IF(Form_Responses[[#This Row],[5. In the last month, how often have you felt that things were going well in your studies or personal life?]]="Fairly often",1,0))))</f>
        <v>1</v>
      </c>
      <c r="BE26" s="3" t="s">
        <v>88</v>
      </c>
      <c r="BF26" s="4">
        <f>IF(Form_Responses[[#This Row],[6. In the last month, how often have you felt unable to cope with coursework, deadlines, or daily responsibilities?]]="Never",0,IF(Form_Responses[[#This Row],[6. In the last month, how often have you felt unable to cope with coursework, deadlines, or daily responsibilities?]]="Almost never",1,IF(Form_Responses[[#This Row],[6. In the last month, how often have you felt unable to cope with coursework, deadlines, or daily responsibilities?]]="Sometimes",2,IF(Form_Responses[[#This Row],[6. In the last month, how often have you felt unable to cope with coursework, deadlines, or daily responsibilities?]]="Fairly often",3,4))))</f>
        <v>3</v>
      </c>
      <c r="BG26" s="3" t="s">
        <v>89</v>
      </c>
      <c r="BH26" s="4">
        <f>IF(Form_Responses[[#This Row],[7. In the last month, how often have you been able to control irritations or frustrations in your life?]]="Never",4,IF(Form_Responses[[#This Row],[7. In the last month, how often have you been able to control irritations or frustrations in your life?]]="Almost never",3,IF(Form_Responses[[#This Row],[7. In the last month, how often have you been able to control irritations or frustrations in your life?]]="Sometimes",2,IF(Form_Responses[[#This Row],[7. In the last month, how often have you been able to control irritations or frustrations in your life?]]="Fairly often",1,0))))</f>
        <v>2</v>
      </c>
      <c r="BI26" s="3" t="s">
        <v>88</v>
      </c>
      <c r="BJ26" s="4">
        <f>IF(Form_Responses[[#This Row],[8. In the last month, how often have you felt that you were managing your academic and personal responsibilities well?]]="Never",4,IF(Form_Responses[[#This Row],[8. In the last month, how often have you felt that you were managing your academic and personal responsibilities well?]]="Almost never",3,IF(Form_Responses[[#This Row],[8. In the last month, how often have you felt that you were managing your academic and personal responsibilities well?]]="Sometimes",2,IF(Form_Responses[[#This Row],[8. In the last month, how often have you felt that you were managing your academic and personal responsibilities well?]]="Fairly often",1,0))))</f>
        <v>1</v>
      </c>
      <c r="BK26" s="3" t="s">
        <v>88</v>
      </c>
      <c r="BL26" s="5">
        <f>IF(Form_Responses[[#This Row],[9. In the last month, how often have you been angered or frustrated by situations outside your control, such as finances, academics, or relationships?]]="Never",0,IF(Form_Responses[[#This Row],[9. In the last month, how often have you been angered or frustrated by situations outside your control, such as finances, academics, or relationships?]]="Almost never",1,IF(Form_Responses[[#This Row],[9. In the last month, how often have you been angered or frustrated by situations outside your control, such as finances, academics, or relationships?]]="Sometimes",2,IF(Form_Responses[[#This Row],[9. In the last month, how often have you been angered or frustrated by situations outside your control, such as finances, academics, or relationships?]]="Fairly often",3,4))))</f>
        <v>3</v>
      </c>
      <c r="BM26" s="3" t="s">
        <v>88</v>
      </c>
      <c r="BN26" s="4">
        <f>IF(Form_Responses[[#This Row],[10. In the last month, how often have you felt that difficulties were piling up so much that you could not overcome them?]]="Never",0,IF(Form_Responses[[#This Row],[10. In the last month, how often have you felt that difficulties were piling up so much that you could not overcome them?]]="Almost never",1,IF(Form_Responses[[#This Row],[10. In the last month, how often have you felt that difficulties were piling up so much that you could not overcome them?]]="Sometimes",2,IF(Form_Responses[[#This Row],[10. In the last month, how often have you felt that difficulties were piling up so much that you could not overcome them?]]="Fairly often",3,4))))</f>
        <v>3</v>
      </c>
      <c r="BO26" s="4">
        <f>SUM(Form_Responses[[#This Row],[Score17]],Form_Responses[[#This Row],[Score18]],Form_Responses[[#This Row],[Score19]],Form_Responses[[#This Row],[Score20]],Form_Responses[[#This Row],[Score21]],Form_Responses[[#This Row],[Score22]],Form_Responses[[#This Row],[Score23]],Form_Responses[[#This Row],[Score24]],Form_Responses[[#This Row],[Score25]],Form_Responses[[#This Row],[Score26]])</f>
        <v>23</v>
      </c>
      <c r="BP26" s="4" t="str">
        <f>IF(Form_Responses[[#This Row],[Anxiety Score2]]&lt;=13,"Low stress",IF(Form_Responses[[#This Row],[Anxiety Score2]]&lt;=26,"Moderate stress","High stress"))</f>
        <v xml:space="preserve">Moderate stress</v>
      </c>
      <c r="BQ26" s="3" t="s">
        <v>91</v>
      </c>
      <c r="BR26" s="3" t="s">
        <v>91</v>
      </c>
      <c r="BS26" s="3" t="s">
        <v>236</v>
      </c>
      <c r="BT26" s="3" t="s">
        <v>237</v>
      </c>
      <c r="BU26" s="3" t="s">
        <v>91</v>
      </c>
      <c r="BV26" s="3" t="s">
        <v>238</v>
      </c>
      <c r="BW26" s="3" t="s">
        <v>239</v>
      </c>
      <c r="BX26" s="3" t="s">
        <v>240</v>
      </c>
    </row>
    <row r="27" ht="22.5" customHeight="1">
      <c r="A27" s="2">
        <v>46192.925457511577</v>
      </c>
      <c r="B27" s="3" t="s">
        <v>76</v>
      </c>
      <c r="C27" s="3" t="s">
        <v>77</v>
      </c>
      <c r="D27" s="3" t="s">
        <v>78</v>
      </c>
      <c r="E27" s="3" t="s">
        <v>79</v>
      </c>
      <c r="F27" s="3" t="s">
        <v>241</v>
      </c>
      <c r="G27" s="3" t="s">
        <v>100</v>
      </c>
      <c r="H27" s="3" t="s">
        <v>82</v>
      </c>
      <c r="I27" s="3" t="s">
        <v>83</v>
      </c>
      <c r="J27" s="3" t="s">
        <v>160</v>
      </c>
      <c r="K27" s="3" t="s">
        <v>86</v>
      </c>
      <c r="L27" s="4">
        <f>IF(K27="Not at all",0,IF(K27="Several days",1,IF(K27="More than half the days",2,3)))</f>
        <v>1</v>
      </c>
      <c r="M27" s="3" t="s">
        <v>87</v>
      </c>
      <c r="N27" s="4">
        <f>IF(M27="Not at all",0,IF(M27="Several days",1,IF(M27="More than half the days",2,3)))</f>
        <v>2</v>
      </c>
      <c r="O27" s="3" t="s">
        <v>85</v>
      </c>
      <c r="P27" s="5">
        <f>IF(O27="Not at all",0,IF(O27="Several days",1,IF(O27="More than half the days",2,3)))</f>
        <v>0</v>
      </c>
      <c r="Q27" s="3" t="s">
        <v>104</v>
      </c>
      <c r="R27" s="4">
        <f>IF(Q27="Not at all",0,IF(Q27="Several days",1,IF(Q27="More than half the days",2,3)))</f>
        <v>3</v>
      </c>
      <c r="S27" s="3" t="s">
        <v>86</v>
      </c>
      <c r="T27" s="4">
        <f>IF(S27="Not at all",0,IF(S27="Several days",1,IF(S27="More than half the days",2,3)))</f>
        <v>1</v>
      </c>
      <c r="U27" s="3" t="s">
        <v>87</v>
      </c>
      <c r="V27" s="4">
        <f>IF(U27="Not at all",0,IF(U27="Several days",1,IF(U27="More than half the days",2,3)))</f>
        <v>2</v>
      </c>
      <c r="W27" s="3" t="s">
        <v>87</v>
      </c>
      <c r="X27" s="4">
        <f>IF(W27="Not at all",0,IF(W27="Several days",1,IF(W27="More than half the days",2,3)))</f>
        <v>2</v>
      </c>
      <c r="Y27" s="3" t="s">
        <v>85</v>
      </c>
      <c r="Z27" s="4">
        <f>IF(Y27="Not at all",0,IF(Y27="Several days",1,IF(Y27="More than half the days",2,3)))</f>
        <v>0</v>
      </c>
      <c r="AA27" s="3" t="s">
        <v>86</v>
      </c>
      <c r="AB27" s="4">
        <f>IF(AA27="Not at all",0,IF(AA27="Several days",1,IF(AA27="More than half the days",2,3)))</f>
        <v>1</v>
      </c>
      <c r="AC27" s="4">
        <f>SUM(Form_Responses[[#This Row],[Score]],Form_Responses[[#This Row],[Score2]],Form_Responses[[#This Row],[Score3]],Form_Responses[[#This Row],[Score4]],Form_Responses[[#This Row],[Score5]],Form_Responses[[#This Row],[Score6]],Form_Responses[[#This Row],[Score7]],Form_Responses[[#This Row],[Score8]],Form_Responses[[#This Row],[Score9]])</f>
        <v>12</v>
      </c>
      <c r="AD27" s="4" t="str">
        <f>IF(Form_Responses[[#This Row],[Depression Score ]]&lt;=4,"Minimal symptoms",IF(Form_Responses[[#This Row],[Depression Score ]]&lt;=9,"Mild Depression",IF(Form_Responses[[#This Row],[Depression Score ]]&lt;=14,"Moderate depression",IF(Form_Responses[[#This Row],[Depression Score ]]&lt;=19,"Moderately severe depression","Severe depression"))))</f>
        <v xml:space="preserve">Moderate depression</v>
      </c>
      <c r="AE27" s="3" t="s">
        <v>86</v>
      </c>
      <c r="AF27" s="4">
        <f>IF(AE27="Not at all",0,IF(AE27="Several days",1,IF(AE27="More than half the days",2,3)))</f>
        <v>1</v>
      </c>
      <c r="AG27" s="3" t="s">
        <v>86</v>
      </c>
      <c r="AH27" s="4">
        <f>IF(AG27="Not at all",0,IF(AG27="Several days",1,IF(AG27="More than half the days",2,3)))</f>
        <v>1</v>
      </c>
      <c r="AI27" s="3" t="s">
        <v>86</v>
      </c>
      <c r="AJ27" s="4">
        <f>IF(AI27="Not at all",0,IF(AI27="Several days",1,IF(AI27="More than half the days",2,3)))</f>
        <v>1</v>
      </c>
      <c r="AK27" s="3" t="s">
        <v>85</v>
      </c>
      <c r="AL27" s="4">
        <f>IF(AK27="Not at all",0,IF(AK27="Several days",1,IF(AK27="More than half the days",2,3)))</f>
        <v>0</v>
      </c>
      <c r="AM27" s="3" t="s">
        <v>87</v>
      </c>
      <c r="AN27" s="4">
        <f>IF(AM27="Not at all",0,IF(AM27="Several days",1,IF(AM27="More than half the days",2,3)))</f>
        <v>2</v>
      </c>
      <c r="AO27" s="3" t="s">
        <v>85</v>
      </c>
      <c r="AP27" s="4">
        <f>IF(AO27="Not at all",0,IF(AO27="Several days",1,IF(AO27="More than half the days",2,3)))</f>
        <v>0</v>
      </c>
      <c r="AQ27" s="3" t="s">
        <v>85</v>
      </c>
      <c r="AR27" s="4">
        <f>IF(AQ27="Not at all",0,IF(AQ27="Several days",1,IF(AQ27="More than half the days",2,3)))</f>
        <v>0</v>
      </c>
      <c r="AS27" s="4">
        <f>SUM(Form_Responses[[#This Row],[Score16]],Form_Responses[[#This Row],[Score10]],Form_Responses[[#This Row],[Score11]],Form_Responses[[#This Row],[Score12]],Form_Responses[[#This Row],[Score13]],Form_Responses[[#This Row],[Score14]],Form_Responses[[#This Row],[Score15]])</f>
        <v>5</v>
      </c>
      <c r="AT27" s="4" t="str">
        <f>IF(Form_Responses[[#This Row],[Anxiety Score]]&lt;=4,"Minimal anxiety",IF(Form_Responses[[#This Row],[Anxiety Score]]&lt;=9,"Mild anxiety",IF(Form_Responses[[#This Row],[Anxiety Score]]&lt;=14,"Moderate anxiety","Severe anxiety")))</f>
        <v xml:space="preserve">Mild anxiety</v>
      </c>
      <c r="AU27" s="3" t="s">
        <v>89</v>
      </c>
      <c r="AV27" s="4">
        <f>IF(Form_Responses[[#This Row],[1. In the last month, how often have you been upset because of unexpected situations related to academics, finances, or personal life?]]="Never",0,IF(Form_Responses[[#This Row],[1. In the last month, how often have you been upset because of unexpected situations related to academics, finances, or personal life?]]="Almost never",1,IF(Form_Responses[[#This Row],[1. In the last month, how often have you been upset because of unexpected situations related to academics, finances, or personal life?]]="Sometimes",2,IF(Form_Responses[[#This Row],[1. In the last month, how often have you been upset because of unexpected situations related to academics, finances, or personal life?]]="Fairly often",3,4))))</f>
        <v>2</v>
      </c>
      <c r="AW27" s="3" t="s">
        <v>88</v>
      </c>
      <c r="AX27" s="5">
        <f>IF(Form_Responses[[#This Row],[2. In the last month, how often have you felt unable to control important things in your academic or personal life?]]="Never",0,IF(Form_Responses[[#This Row],[2. In the last month, how often have you felt unable to control important things in your academic or personal life?]]="Almost never",1,IF(Form_Responses[[#This Row],[2. In the last month, how often have you felt unable to control important things in your academic or personal life?]]="Sometimes",2,IF(Form_Responses[[#This Row],[2. In the last month, how often have you felt unable to control important things in your academic or personal life?]]="Fairly often",3,4))))</f>
        <v>3</v>
      </c>
      <c r="AY27" s="3" t="s">
        <v>89</v>
      </c>
      <c r="AZ27" s="4">
        <f>IF(Form_Responses[[#This Row],[3. In the last month, how often have you felt nervous or stressed because of university responsibilities or personal challenges?]]="Never",0,IF(Form_Responses[[#This Row],[3. In the last month, how often have you felt nervous or stressed because of university responsibilities or personal challenges?]]="Almost never",1,IF(Form_Responses[[#This Row],[3. In the last month, how often have you felt nervous or stressed because of university responsibilities or personal challenges?]]="Sometimes",2,IF(Form_Responses[[#This Row],[3. In the last month, how often have you felt nervous or stressed because of university responsibilities or personal challenges?]]="Fairly often",3,4))))</f>
        <v>2</v>
      </c>
      <c r="BA27" s="3" t="s">
        <v>88</v>
      </c>
      <c r="BB27" s="4">
        <f>IF(Form_Responses[[#This Row],[4. In the last month, how often have you felt confident about your ability to handle academic or personal problems?]]="Never",4,IF(Form_Responses[[#This Row],[4. In the last month, how often have you felt confident about your ability to handle academic or personal problems?]]="Almost never",3,IF(Form_Responses[[#This Row],[4. In the last month, how often have you felt confident about your ability to handle academic or personal problems?]]="Sometimes",2,IF(Form_Responses[[#This Row],[4. In the last month, how often have you felt confident about your ability to handle academic or personal problems?]]="Fairly often",1,0))))</f>
        <v>1</v>
      </c>
      <c r="BC27" s="3" t="s">
        <v>89</v>
      </c>
      <c r="BD27" s="4">
        <f>IF(Form_Responses[[#This Row],[5. In the last month, how often have you felt that things were going well in your studies or personal life?]]="Never",4,IF(Form_Responses[[#This Row],[5. In the last month, how often have you felt that things were going well in your studies or personal life?]]="Almost never",3,IF(Form_Responses[[#This Row],[5. In the last month, how often have you felt that things were going well in your studies or personal life?]]="Sometimes",2,IF(Form_Responses[[#This Row],[5. In the last month, how often have you felt that things were going well in your studies or personal life?]]="Fairly often",1,0))))</f>
        <v>2</v>
      </c>
      <c r="BE27" s="3" t="s">
        <v>90</v>
      </c>
      <c r="BF27" s="4">
        <f>IF(Form_Responses[[#This Row],[6. In the last month, how often have you felt unable to cope with coursework, deadlines, or daily responsibilities?]]="Never",0,IF(Form_Responses[[#This Row],[6. In the last month, how often have you felt unable to cope with coursework, deadlines, or daily responsibilities?]]="Almost never",1,IF(Form_Responses[[#This Row],[6. In the last month, how often have you felt unable to cope with coursework, deadlines, or daily responsibilities?]]="Sometimes",2,IF(Form_Responses[[#This Row],[6. In the last month, how often have you felt unable to cope with coursework, deadlines, or daily responsibilities?]]="Fairly often",3,4))))</f>
        <v>1</v>
      </c>
      <c r="BG27" s="3" t="s">
        <v>90</v>
      </c>
      <c r="BH27" s="4">
        <f>IF(Form_Responses[[#This Row],[7. In the last month, how often have you been able to control irritations or frustrations in your life?]]="Never",4,IF(Form_Responses[[#This Row],[7. In the last month, how often have you been able to control irritations or frustrations in your life?]]="Almost never",3,IF(Form_Responses[[#This Row],[7. In the last month, how often have you been able to control irritations or frustrations in your life?]]="Sometimes",2,IF(Form_Responses[[#This Row],[7. In the last month, how often have you been able to control irritations or frustrations in your life?]]="Fairly often",1,0))))</f>
        <v>3</v>
      </c>
      <c r="BI27" s="3" t="s">
        <v>89</v>
      </c>
      <c r="BJ27" s="4">
        <f>IF(Form_Responses[[#This Row],[8. In the last month, how often have you felt that you were managing your academic and personal responsibilities well?]]="Never",4,IF(Form_Responses[[#This Row],[8. In the last month, how often have you felt that you were managing your academic and personal responsibilities well?]]="Almost never",3,IF(Form_Responses[[#This Row],[8. In the last month, how often have you felt that you were managing your academic and personal responsibilities well?]]="Sometimes",2,IF(Form_Responses[[#This Row],[8. In the last month, how often have you felt that you were managing your academic and personal responsibilities well?]]="Fairly often",1,0))))</f>
        <v>2</v>
      </c>
      <c r="BK27" s="3" t="s">
        <v>88</v>
      </c>
      <c r="BL27" s="5">
        <f>IF(Form_Responses[[#This Row],[9. In the last month, how often have you been angered or frustrated by situations outside your control, such as finances, academics, or relationships?]]="Never",0,IF(Form_Responses[[#This Row],[9. In the last month, how often have you been angered or frustrated by situations outside your control, such as finances, academics, or relationships?]]="Almost never",1,IF(Form_Responses[[#This Row],[9. In the last month, how often have you been angered or frustrated by situations outside your control, such as finances, academics, or relationships?]]="Sometimes",2,IF(Form_Responses[[#This Row],[9. In the last month, how often have you been angered or frustrated by situations outside your control, such as finances, academics, or relationships?]]="Fairly often",3,4))))</f>
        <v>3</v>
      </c>
      <c r="BM27" s="3" t="s">
        <v>89</v>
      </c>
      <c r="BN27" s="4">
        <f>IF(Form_Responses[[#This Row],[10. In the last month, how often have you felt that difficulties were piling up so much that you could not overcome them?]]="Never",0,IF(Form_Responses[[#This Row],[10. In the last month, how often have you felt that difficulties were piling up so much that you could not overcome them?]]="Almost never",1,IF(Form_Responses[[#This Row],[10. In the last month, how often have you felt that difficulties were piling up so much that you could not overcome them?]]="Sometimes",2,IF(Form_Responses[[#This Row],[10. In the last month, how often have you felt that difficulties were piling up so much that you could not overcome them?]]="Fairly often",3,4))))</f>
        <v>2</v>
      </c>
      <c r="BO27" s="4">
        <f>SUM(Form_Responses[[#This Row],[Score17]],Form_Responses[[#This Row],[Score18]],Form_Responses[[#This Row],[Score19]],Form_Responses[[#This Row],[Score20]],Form_Responses[[#This Row],[Score21]],Form_Responses[[#This Row],[Score22]],Form_Responses[[#This Row],[Score23]],Form_Responses[[#This Row],[Score24]],Form_Responses[[#This Row],[Score25]],Form_Responses[[#This Row],[Score26]])</f>
        <v>21</v>
      </c>
      <c r="BP27" s="4" t="str">
        <f>IF(Form_Responses[[#This Row],[Anxiety Score2]]&lt;=13,"Low stress",IF(Form_Responses[[#This Row],[Anxiety Score2]]&lt;=26,"Moderate stress","High stress"))</f>
        <v xml:space="preserve">Moderate stress</v>
      </c>
      <c r="BQ27" s="3" t="s">
        <v>91</v>
      </c>
      <c r="BR27" s="3" t="s">
        <v>106</v>
      </c>
      <c r="BS27" s="3" t="s">
        <v>242</v>
      </c>
      <c r="BT27" s="3" t="s">
        <v>237</v>
      </c>
      <c r="BU27" s="3" t="s">
        <v>106</v>
      </c>
      <c r="BV27" s="3" t="s">
        <v>243</v>
      </c>
      <c r="BW27" s="3" t="s">
        <v>244</v>
      </c>
      <c r="BX27" s="3" t="s">
        <v>245</v>
      </c>
    </row>
    <row r="28" ht="22.5" customHeight="1">
      <c r="A28" s="2">
        <v>46193.024420949077</v>
      </c>
      <c r="B28" s="3" t="s">
        <v>76</v>
      </c>
      <c r="C28" s="3" t="s">
        <v>154</v>
      </c>
      <c r="D28" s="3" t="s">
        <v>78</v>
      </c>
      <c r="E28" s="3" t="s">
        <v>207</v>
      </c>
      <c r="F28" s="3" t="s">
        <v>246</v>
      </c>
      <c r="G28" s="3" t="s">
        <v>81</v>
      </c>
      <c r="H28" s="3" t="s">
        <v>101</v>
      </c>
      <c r="I28" s="3" t="s">
        <v>114</v>
      </c>
      <c r="J28" s="3" t="s">
        <v>160</v>
      </c>
      <c r="K28" s="3" t="s">
        <v>86</v>
      </c>
      <c r="L28" s="4">
        <f>IF(K28="Not at all",0,IF(K28="Several days",1,IF(K28="More than half the days",2,3)))</f>
        <v>1</v>
      </c>
      <c r="M28" s="3" t="s">
        <v>86</v>
      </c>
      <c r="N28" s="4">
        <f>IF(M28="Not at all",0,IF(M28="Several days",1,IF(M28="More than half the days",2,3)))</f>
        <v>1</v>
      </c>
      <c r="O28" s="3" t="s">
        <v>85</v>
      </c>
      <c r="P28" s="5">
        <f>IF(O28="Not at all",0,IF(O28="Several days",1,IF(O28="More than half the days",2,3)))</f>
        <v>0</v>
      </c>
      <c r="Q28" s="3" t="s">
        <v>86</v>
      </c>
      <c r="R28" s="4">
        <f>IF(Q28="Not at all",0,IF(Q28="Several days",1,IF(Q28="More than half the days",2,3)))</f>
        <v>1</v>
      </c>
      <c r="S28" s="3" t="s">
        <v>86</v>
      </c>
      <c r="T28" s="4">
        <f>IF(S28="Not at all",0,IF(S28="Several days",1,IF(S28="More than half the days",2,3)))</f>
        <v>1</v>
      </c>
      <c r="U28" s="3" t="s">
        <v>85</v>
      </c>
      <c r="V28" s="4">
        <f>IF(U28="Not at all",0,IF(U28="Several days",1,IF(U28="More than half the days",2,3)))</f>
        <v>0</v>
      </c>
      <c r="W28" s="3" t="s">
        <v>86</v>
      </c>
      <c r="X28" s="4">
        <f>IF(W28="Not at all",0,IF(W28="Several days",1,IF(W28="More than half the days",2,3)))</f>
        <v>1</v>
      </c>
      <c r="Y28" s="3" t="s">
        <v>85</v>
      </c>
      <c r="Z28" s="4">
        <f>IF(Y28="Not at all",0,IF(Y28="Several days",1,IF(Y28="More than half the days",2,3)))</f>
        <v>0</v>
      </c>
      <c r="AA28" s="3" t="s">
        <v>85</v>
      </c>
      <c r="AB28" s="4">
        <f>IF(AA28="Not at all",0,IF(AA28="Several days",1,IF(AA28="More than half the days",2,3)))</f>
        <v>0</v>
      </c>
      <c r="AC28" s="4">
        <f>SUM(Form_Responses[[#This Row],[Score]],Form_Responses[[#This Row],[Score2]],Form_Responses[[#This Row],[Score3]],Form_Responses[[#This Row],[Score4]],Form_Responses[[#This Row],[Score5]],Form_Responses[[#This Row],[Score6]],Form_Responses[[#This Row],[Score7]],Form_Responses[[#This Row],[Score8]],Form_Responses[[#This Row],[Score9]])</f>
        <v>5</v>
      </c>
      <c r="AD28" s="4" t="str">
        <f>IF(Form_Responses[[#This Row],[Depression Score ]]&lt;=4,"Minimal symptoms",IF(Form_Responses[[#This Row],[Depression Score ]]&lt;=9,"Mild Depression",IF(Form_Responses[[#This Row],[Depression Score ]]&lt;=14,"Moderate depression",IF(Form_Responses[[#This Row],[Depression Score ]]&lt;=19,"Moderately severe depression","Severe depression"))))</f>
        <v xml:space="preserve">Mild Depression</v>
      </c>
      <c r="AE28" s="3" t="s">
        <v>86</v>
      </c>
      <c r="AF28" s="4">
        <f>IF(AE28="Not at all",0,IF(AE28="Several days",1,IF(AE28="More than half the days",2,3)))</f>
        <v>1</v>
      </c>
      <c r="AG28" s="3" t="s">
        <v>85</v>
      </c>
      <c r="AH28" s="4">
        <f>IF(AG28="Not at all",0,IF(AG28="Several days",1,IF(AG28="More than half the days",2,3)))</f>
        <v>0</v>
      </c>
      <c r="AI28" s="3" t="s">
        <v>86</v>
      </c>
      <c r="AJ28" s="4">
        <f>IF(AI28="Not at all",0,IF(AI28="Several days",1,IF(AI28="More than half the days",2,3)))</f>
        <v>1</v>
      </c>
      <c r="AK28" s="3" t="s">
        <v>86</v>
      </c>
      <c r="AL28" s="4">
        <f>IF(AK28="Not at all",0,IF(AK28="Several days",1,IF(AK28="More than half the days",2,3)))</f>
        <v>1</v>
      </c>
      <c r="AM28" s="3" t="s">
        <v>85</v>
      </c>
      <c r="AN28" s="4">
        <f>IF(AM28="Not at all",0,IF(AM28="Several days",1,IF(AM28="More than half the days",2,3)))</f>
        <v>0</v>
      </c>
      <c r="AO28" s="3" t="s">
        <v>85</v>
      </c>
      <c r="AP28" s="4">
        <f>IF(AO28="Not at all",0,IF(AO28="Several days",1,IF(AO28="More than half the days",2,3)))</f>
        <v>0</v>
      </c>
      <c r="AQ28" s="3" t="s">
        <v>86</v>
      </c>
      <c r="AR28" s="4">
        <f>IF(AQ28="Not at all",0,IF(AQ28="Several days",1,IF(AQ28="More than half the days",2,3)))</f>
        <v>1</v>
      </c>
      <c r="AS28" s="4">
        <f>SUM(Form_Responses[[#This Row],[Score16]],Form_Responses[[#This Row],[Score10]],Form_Responses[[#This Row],[Score11]],Form_Responses[[#This Row],[Score12]],Form_Responses[[#This Row],[Score13]],Form_Responses[[#This Row],[Score14]],Form_Responses[[#This Row],[Score15]])</f>
        <v>4</v>
      </c>
      <c r="AT28" s="4" t="str">
        <f>IF(Form_Responses[[#This Row],[Anxiety Score]]&lt;=4,"Minimal anxiety",IF(Form_Responses[[#This Row],[Anxiety Score]]&lt;=9,"Mild anxiety",IF(Form_Responses[[#This Row],[Anxiety Score]]&lt;=14,"Moderate anxiety","Severe anxiety")))</f>
        <v xml:space="preserve">Minimal anxiety</v>
      </c>
      <c r="AU28" s="3" t="s">
        <v>89</v>
      </c>
      <c r="AV28" s="4">
        <f>IF(Form_Responses[[#This Row],[1. In the last month, how often have you been upset because of unexpected situations related to academics, finances, or personal life?]]="Never",0,IF(Form_Responses[[#This Row],[1. In the last month, how often have you been upset because of unexpected situations related to academics, finances, or personal life?]]="Almost never",1,IF(Form_Responses[[#This Row],[1. In the last month, how often have you been upset because of unexpected situations related to academics, finances, or personal life?]]="Sometimes",2,IF(Form_Responses[[#This Row],[1. In the last month, how often have you been upset because of unexpected situations related to academics, finances, or personal life?]]="Fairly often",3,4))))</f>
        <v>2</v>
      </c>
      <c r="AW28" s="3" t="s">
        <v>89</v>
      </c>
      <c r="AX28" s="5">
        <f>IF(Form_Responses[[#This Row],[2. In the last month, how often have you felt unable to control important things in your academic or personal life?]]="Never",0,IF(Form_Responses[[#This Row],[2. In the last month, how often have you felt unable to control important things in your academic or personal life?]]="Almost never",1,IF(Form_Responses[[#This Row],[2. In the last month, how often have you felt unable to control important things in your academic or personal life?]]="Sometimes",2,IF(Form_Responses[[#This Row],[2. In the last month, how often have you felt unable to control important things in your academic or personal life?]]="Fairly often",3,4))))</f>
        <v>2</v>
      </c>
      <c r="AY28" s="3" t="s">
        <v>88</v>
      </c>
      <c r="AZ28" s="4">
        <f>IF(Form_Responses[[#This Row],[3. In the last month, how often have you felt nervous or stressed because of university responsibilities or personal challenges?]]="Never",0,IF(Form_Responses[[#This Row],[3. In the last month, how often have you felt nervous or stressed because of university responsibilities or personal challenges?]]="Almost never",1,IF(Form_Responses[[#This Row],[3. In the last month, how often have you felt nervous or stressed because of university responsibilities or personal challenges?]]="Sometimes",2,IF(Form_Responses[[#This Row],[3. In the last month, how often have you felt nervous or stressed because of university responsibilities or personal challenges?]]="Fairly often",3,4))))</f>
        <v>3</v>
      </c>
      <c r="BA28" s="3" t="s">
        <v>105</v>
      </c>
      <c r="BB28" s="4">
        <f>IF(Form_Responses[[#This Row],[4. In the last month, how often have you felt confident about your ability to handle academic or personal problems?]]="Never",4,IF(Form_Responses[[#This Row],[4. In the last month, how often have you felt confident about your ability to handle academic or personal problems?]]="Almost never",3,IF(Form_Responses[[#This Row],[4. In the last month, how often have you felt confident about your ability to handle academic or personal problems?]]="Sometimes",2,IF(Form_Responses[[#This Row],[4. In the last month, how often have you felt confident about your ability to handle academic or personal problems?]]="Fairly often",1,0))))</f>
        <v>0</v>
      </c>
      <c r="BC28" s="3" t="s">
        <v>88</v>
      </c>
      <c r="BD28" s="4">
        <f>IF(Form_Responses[[#This Row],[5. In the last month, how often have you felt that things were going well in your studies or personal life?]]="Never",4,IF(Form_Responses[[#This Row],[5. In the last month, how often have you felt that things were going well in your studies or personal life?]]="Almost never",3,IF(Form_Responses[[#This Row],[5. In the last month, how often have you felt that things were going well in your studies or personal life?]]="Sometimes",2,IF(Form_Responses[[#This Row],[5. In the last month, how often have you felt that things were going well in your studies or personal life?]]="Fairly often",1,0))))</f>
        <v>1</v>
      </c>
      <c r="BE28" s="3" t="s">
        <v>89</v>
      </c>
      <c r="BF28" s="4">
        <f>IF(Form_Responses[[#This Row],[6. In the last month, how often have you felt unable to cope with coursework, deadlines, or daily responsibilities?]]="Never",0,IF(Form_Responses[[#This Row],[6. In the last month, how often have you felt unable to cope with coursework, deadlines, or daily responsibilities?]]="Almost never",1,IF(Form_Responses[[#This Row],[6. In the last month, how often have you felt unable to cope with coursework, deadlines, or daily responsibilities?]]="Sometimes",2,IF(Form_Responses[[#This Row],[6. In the last month, how often have you felt unable to cope with coursework, deadlines, or daily responsibilities?]]="Fairly often",3,4))))</f>
        <v>2</v>
      </c>
      <c r="BG28" s="3" t="s">
        <v>88</v>
      </c>
      <c r="BH28" s="4">
        <f>IF(Form_Responses[[#This Row],[7. In the last month, how often have you been able to control irritations or frustrations in your life?]]="Never",4,IF(Form_Responses[[#This Row],[7. In the last month, how often have you been able to control irritations or frustrations in your life?]]="Almost never",3,IF(Form_Responses[[#This Row],[7. In the last month, how often have you been able to control irritations or frustrations in your life?]]="Sometimes",2,IF(Form_Responses[[#This Row],[7. In the last month, how often have you been able to control irritations or frustrations in your life?]]="Fairly often",1,0))))</f>
        <v>1</v>
      </c>
      <c r="BI28" s="3" t="s">
        <v>89</v>
      </c>
      <c r="BJ28" s="4">
        <f>IF(Form_Responses[[#This Row],[8. In the last month, how often have you felt that you were managing your academic and personal responsibilities well?]]="Never",4,IF(Form_Responses[[#This Row],[8. In the last month, how often have you felt that you were managing your academic and personal responsibilities well?]]="Almost never",3,IF(Form_Responses[[#This Row],[8. In the last month, how often have you felt that you were managing your academic and personal responsibilities well?]]="Sometimes",2,IF(Form_Responses[[#This Row],[8. In the last month, how often have you felt that you were managing your academic and personal responsibilities well?]]="Fairly often",1,0))))</f>
        <v>2</v>
      </c>
      <c r="BK28" s="3" t="s">
        <v>88</v>
      </c>
      <c r="BL28" s="5">
        <f>IF(Form_Responses[[#This Row],[9. In the last month, how often have you been angered or frustrated by situations outside your control, such as finances, academics, or relationships?]]="Never",0,IF(Form_Responses[[#This Row],[9. In the last month, how often have you been angered or frustrated by situations outside your control, such as finances, academics, or relationships?]]="Almost never",1,IF(Form_Responses[[#This Row],[9. In the last month, how often have you been angered or frustrated by situations outside your control, such as finances, academics, or relationships?]]="Sometimes",2,IF(Form_Responses[[#This Row],[9. In the last month, how often have you been angered or frustrated by situations outside your control, such as finances, academics, or relationships?]]="Fairly often",3,4))))</f>
        <v>3</v>
      </c>
      <c r="BM28" s="3" t="s">
        <v>90</v>
      </c>
      <c r="BN28" s="4">
        <f>IF(Form_Responses[[#This Row],[10. In the last month, how often have you felt that difficulties were piling up so much that you could not overcome them?]]="Never",0,IF(Form_Responses[[#This Row],[10. In the last month, how often have you felt that difficulties were piling up so much that you could not overcome them?]]="Almost never",1,IF(Form_Responses[[#This Row],[10. In the last month, how often have you felt that difficulties were piling up so much that you could not overcome them?]]="Sometimes",2,IF(Form_Responses[[#This Row],[10. In the last month, how often have you felt that difficulties were piling up so much that you could not overcome them?]]="Fairly often",3,4))))</f>
        <v>1</v>
      </c>
      <c r="BO28" s="4">
        <f>SUM(Form_Responses[[#This Row],[Score17]],Form_Responses[[#This Row],[Score18]],Form_Responses[[#This Row],[Score19]],Form_Responses[[#This Row],[Score20]],Form_Responses[[#This Row],[Score21]],Form_Responses[[#This Row],[Score22]],Form_Responses[[#This Row],[Score23]],Form_Responses[[#This Row],[Score24]],Form_Responses[[#This Row],[Score25]],Form_Responses[[#This Row],[Score26]])</f>
        <v>17</v>
      </c>
      <c r="BP28" s="4" t="str">
        <f>IF(Form_Responses[[#This Row],[Anxiety Score2]]&lt;=13,"Low stress",IF(Form_Responses[[#This Row],[Anxiety Score2]]&lt;=26,"Moderate stress","High stress"))</f>
        <v xml:space="preserve">Moderate stress</v>
      </c>
      <c r="BQ28" s="3" t="s">
        <v>91</v>
      </c>
      <c r="BR28" s="3" t="s">
        <v>106</v>
      </c>
      <c r="BS28" s="3" t="s">
        <v>247</v>
      </c>
      <c r="BT28" s="3" t="s">
        <v>248</v>
      </c>
      <c r="BU28" s="3" t="s">
        <v>106</v>
      </c>
      <c r="BV28" s="3" t="s">
        <v>215</v>
      </c>
      <c r="BW28" s="3" t="s">
        <v>249</v>
      </c>
      <c r="BX28" s="3" t="s">
        <v>250</v>
      </c>
    </row>
    <row r="29" ht="22.5" customHeight="1">
      <c r="A29" s="2">
        <v>46195.578129490736</v>
      </c>
      <c r="B29" s="3" t="s">
        <v>76</v>
      </c>
      <c r="C29" s="3" t="s">
        <v>77</v>
      </c>
      <c r="D29" s="3" t="s">
        <v>112</v>
      </c>
      <c r="E29" s="3" t="s">
        <v>79</v>
      </c>
      <c r="F29" s="3" t="s">
        <v>251</v>
      </c>
      <c r="G29" s="3" t="s">
        <v>81</v>
      </c>
      <c r="H29" s="3" t="s">
        <v>101</v>
      </c>
      <c r="I29" s="3" t="s">
        <v>83</v>
      </c>
      <c r="J29" s="3" t="s">
        <v>160</v>
      </c>
      <c r="K29" s="3" t="s">
        <v>85</v>
      </c>
      <c r="L29" s="4">
        <f>IF(K29="Not at all",0,IF(K29="Several days",1,IF(K29="More than half the days",2,3)))</f>
        <v>0</v>
      </c>
      <c r="M29" s="3" t="s">
        <v>86</v>
      </c>
      <c r="N29" s="4">
        <f>IF(M29="Not at all",0,IF(M29="Several days",1,IF(M29="More than half the days",2,3)))</f>
        <v>1</v>
      </c>
      <c r="O29" s="3" t="s">
        <v>85</v>
      </c>
      <c r="P29" s="5">
        <f>IF(O29="Not at all",0,IF(O29="Several days",1,IF(O29="More than half the days",2,3)))</f>
        <v>0</v>
      </c>
      <c r="Q29" s="3" t="s">
        <v>86</v>
      </c>
      <c r="R29" s="4">
        <f>IF(Q29="Not at all",0,IF(Q29="Several days",1,IF(Q29="More than half the days",2,3)))</f>
        <v>1</v>
      </c>
      <c r="S29" s="3" t="s">
        <v>85</v>
      </c>
      <c r="T29" s="4">
        <f>IF(S29="Not at all",0,IF(S29="Several days",1,IF(S29="More than half the days",2,3)))</f>
        <v>0</v>
      </c>
      <c r="U29" s="3" t="s">
        <v>85</v>
      </c>
      <c r="V29" s="4">
        <f>IF(U29="Not at all",0,IF(U29="Several days",1,IF(U29="More than half the days",2,3)))</f>
        <v>0</v>
      </c>
      <c r="W29" s="3" t="s">
        <v>85</v>
      </c>
      <c r="X29" s="4">
        <f>IF(W29="Not at all",0,IF(W29="Several days",1,IF(W29="More than half the days",2,3)))</f>
        <v>0</v>
      </c>
      <c r="Y29" s="3" t="s">
        <v>85</v>
      </c>
      <c r="Z29" s="4">
        <f>IF(Y29="Not at all",0,IF(Y29="Several days",1,IF(Y29="More than half the days",2,3)))</f>
        <v>0</v>
      </c>
      <c r="AA29" s="3" t="s">
        <v>85</v>
      </c>
      <c r="AB29" s="4">
        <f>IF(AA29="Not at all",0,IF(AA29="Several days",1,IF(AA29="More than half the days",2,3)))</f>
        <v>0</v>
      </c>
      <c r="AC29" s="4">
        <f>SUM(Form_Responses[[#This Row],[Score]],Form_Responses[[#This Row],[Score2]],Form_Responses[[#This Row],[Score3]],Form_Responses[[#This Row],[Score4]],Form_Responses[[#This Row],[Score5]],Form_Responses[[#This Row],[Score6]],Form_Responses[[#This Row],[Score7]],Form_Responses[[#This Row],[Score8]],Form_Responses[[#This Row],[Score9]])</f>
        <v>2</v>
      </c>
      <c r="AD29" s="4" t="str">
        <f>IF(Form_Responses[[#This Row],[Depression Score ]]&lt;=4,"Minimal symptoms",IF(Form_Responses[[#This Row],[Depression Score ]]&lt;=9,"Mild Depression",IF(Form_Responses[[#This Row],[Depression Score ]]&lt;=14,"Moderate depression",IF(Form_Responses[[#This Row],[Depression Score ]]&lt;=19,"Moderately severe depression","Severe depression"))))</f>
        <v xml:space="preserve">Minimal symptoms</v>
      </c>
      <c r="AE29" s="3" t="s">
        <v>85</v>
      </c>
      <c r="AF29" s="4">
        <f>IF(AE29="Not at all",0,IF(AE29="Several days",1,IF(AE29="More than half the days",2,3)))</f>
        <v>0</v>
      </c>
      <c r="AG29" s="3" t="s">
        <v>86</v>
      </c>
      <c r="AH29" s="4">
        <f>IF(AG29="Not at all",0,IF(AG29="Several days",1,IF(AG29="More than half the days",2,3)))</f>
        <v>1</v>
      </c>
      <c r="AI29" s="3" t="s">
        <v>86</v>
      </c>
      <c r="AJ29" s="4">
        <f>IF(AI29="Not at all",0,IF(AI29="Several days",1,IF(AI29="More than half the days",2,3)))</f>
        <v>1</v>
      </c>
      <c r="AK29" s="3" t="s">
        <v>86</v>
      </c>
      <c r="AL29" s="4">
        <f>IF(AK29="Not at all",0,IF(AK29="Several days",1,IF(AK29="More than half the days",2,3)))</f>
        <v>1</v>
      </c>
      <c r="AM29" s="3" t="s">
        <v>104</v>
      </c>
      <c r="AN29" s="4">
        <f>IF(AM29="Not at all",0,IF(AM29="Several days",1,IF(AM29="More than half the days",2,3)))</f>
        <v>3</v>
      </c>
      <c r="AO29" s="3" t="s">
        <v>104</v>
      </c>
      <c r="AP29" s="4">
        <f>IF(AO29="Not at all",0,IF(AO29="Several days",1,IF(AO29="More than half the days",2,3)))</f>
        <v>3</v>
      </c>
      <c r="AQ29" s="3" t="s">
        <v>104</v>
      </c>
      <c r="AR29" s="4">
        <f>IF(AQ29="Not at all",0,IF(AQ29="Several days",1,IF(AQ29="More than half the days",2,3)))</f>
        <v>3</v>
      </c>
      <c r="AS29" s="4">
        <f>SUM(Form_Responses[[#This Row],[Score16]],Form_Responses[[#This Row],[Score10]],Form_Responses[[#This Row],[Score11]],Form_Responses[[#This Row],[Score12]],Form_Responses[[#This Row],[Score13]],Form_Responses[[#This Row],[Score14]],Form_Responses[[#This Row],[Score15]])</f>
        <v>12</v>
      </c>
      <c r="AT29" s="4" t="str">
        <f>IF(Form_Responses[[#This Row],[Anxiety Score]]&lt;=4,"Minimal anxiety",IF(Form_Responses[[#This Row],[Anxiety Score]]&lt;=9,"Mild anxiety",IF(Form_Responses[[#This Row],[Anxiety Score]]&lt;=14,"Moderate anxiety","Severe anxiety")))</f>
        <v xml:space="preserve">Moderate anxiety</v>
      </c>
      <c r="AU29" s="3" t="s">
        <v>88</v>
      </c>
      <c r="AV29" s="4">
        <f>IF(Form_Responses[[#This Row],[1. In the last month, how often have you been upset because of unexpected situations related to academics, finances, or personal life?]]="Never",0,IF(Form_Responses[[#This Row],[1. In the last month, how often have you been upset because of unexpected situations related to academics, finances, or personal life?]]="Almost never",1,IF(Form_Responses[[#This Row],[1. In the last month, how often have you been upset because of unexpected situations related to academics, finances, or personal life?]]="Sometimes",2,IF(Form_Responses[[#This Row],[1. In the last month, how often have you been upset because of unexpected situations related to academics, finances, or personal life?]]="Fairly often",3,4))))</f>
        <v>3</v>
      </c>
      <c r="AW29" s="3" t="s">
        <v>88</v>
      </c>
      <c r="AX29" s="5">
        <f>IF(Form_Responses[[#This Row],[2. In the last month, how often have you felt unable to control important things in your academic or personal life?]]="Never",0,IF(Form_Responses[[#This Row],[2. In the last month, how often have you felt unable to control important things in your academic or personal life?]]="Almost never",1,IF(Form_Responses[[#This Row],[2. In the last month, how often have you felt unable to control important things in your academic or personal life?]]="Sometimes",2,IF(Form_Responses[[#This Row],[2. In the last month, how often have you felt unable to control important things in your academic or personal life?]]="Fairly often",3,4))))</f>
        <v>3</v>
      </c>
      <c r="AY29" s="3" t="s">
        <v>105</v>
      </c>
      <c r="AZ29" s="4">
        <f>IF(Form_Responses[[#This Row],[3. In the last month, how often have you felt nervous or stressed because of university responsibilities or personal challenges?]]="Never",0,IF(Form_Responses[[#This Row],[3. In the last month, how often have you felt nervous or stressed because of university responsibilities or personal challenges?]]="Almost never",1,IF(Form_Responses[[#This Row],[3. In the last month, how often have you felt nervous or stressed because of university responsibilities or personal challenges?]]="Sometimes",2,IF(Form_Responses[[#This Row],[3. In the last month, how often have you felt nervous or stressed because of university responsibilities or personal challenges?]]="Fairly often",3,4))))</f>
        <v>4</v>
      </c>
      <c r="BA29" s="3" t="s">
        <v>89</v>
      </c>
      <c r="BB29" s="4">
        <f>IF(Form_Responses[[#This Row],[4. In the last month, how often have you felt confident about your ability to handle academic or personal problems?]]="Never",4,IF(Form_Responses[[#This Row],[4. In the last month, how often have you felt confident about your ability to handle academic or personal problems?]]="Almost never",3,IF(Form_Responses[[#This Row],[4. In the last month, how often have you felt confident about your ability to handle academic or personal problems?]]="Sometimes",2,IF(Form_Responses[[#This Row],[4. In the last month, how often have you felt confident about your ability to handle academic or personal problems?]]="Fairly often",1,0))))</f>
        <v>2</v>
      </c>
      <c r="BC29" s="3" t="s">
        <v>89</v>
      </c>
      <c r="BD29" s="4">
        <f>IF(Form_Responses[[#This Row],[5. In the last month, how often have you felt that things were going well in your studies or personal life?]]="Never",4,IF(Form_Responses[[#This Row],[5. In the last month, how often have you felt that things were going well in your studies or personal life?]]="Almost never",3,IF(Form_Responses[[#This Row],[5. In the last month, how often have you felt that things were going well in your studies or personal life?]]="Sometimes",2,IF(Form_Responses[[#This Row],[5. In the last month, how often have you felt that things were going well in your studies or personal life?]]="Fairly often",1,0))))</f>
        <v>2</v>
      </c>
      <c r="BE29" s="3" t="s">
        <v>89</v>
      </c>
      <c r="BF29" s="4">
        <f>IF(Form_Responses[[#This Row],[6. In the last month, how often have you felt unable to cope with coursework, deadlines, or daily responsibilities?]]="Never",0,IF(Form_Responses[[#This Row],[6. In the last month, how often have you felt unable to cope with coursework, deadlines, or daily responsibilities?]]="Almost never",1,IF(Form_Responses[[#This Row],[6. In the last month, how often have you felt unable to cope with coursework, deadlines, or daily responsibilities?]]="Sometimes",2,IF(Form_Responses[[#This Row],[6. In the last month, how often have you felt unable to cope with coursework, deadlines, or daily responsibilities?]]="Fairly often",3,4))))</f>
        <v>2</v>
      </c>
      <c r="BG29" s="3" t="s">
        <v>88</v>
      </c>
      <c r="BH29" s="4">
        <f>IF(Form_Responses[[#This Row],[7. In the last month, how often have you been able to control irritations or frustrations in your life?]]="Never",4,IF(Form_Responses[[#This Row],[7. In the last month, how often have you been able to control irritations or frustrations in your life?]]="Almost never",3,IF(Form_Responses[[#This Row],[7. In the last month, how often have you been able to control irritations or frustrations in your life?]]="Sometimes",2,IF(Form_Responses[[#This Row],[7. In the last month, how often have you been able to control irritations or frustrations in your life?]]="Fairly often",1,0))))</f>
        <v>1</v>
      </c>
      <c r="BI29" s="3" t="s">
        <v>89</v>
      </c>
      <c r="BJ29" s="4">
        <f>IF(Form_Responses[[#This Row],[8. In the last month, how often have you felt that you were managing your academic and personal responsibilities well?]]="Never",4,IF(Form_Responses[[#This Row],[8. In the last month, how often have you felt that you were managing your academic and personal responsibilities well?]]="Almost never",3,IF(Form_Responses[[#This Row],[8. In the last month, how often have you felt that you were managing your academic and personal responsibilities well?]]="Sometimes",2,IF(Form_Responses[[#This Row],[8. In the last month, how often have you felt that you were managing your academic and personal responsibilities well?]]="Fairly often",1,0))))</f>
        <v>2</v>
      </c>
      <c r="BK29" s="3" t="s">
        <v>105</v>
      </c>
      <c r="BL29" s="5">
        <f>IF(Form_Responses[[#This Row],[9. In the last month, how often have you been angered or frustrated by situations outside your control, such as finances, academics, or relationships?]]="Never",0,IF(Form_Responses[[#This Row],[9. In the last month, how often have you been angered or frustrated by situations outside your control, such as finances, academics, or relationships?]]="Almost never",1,IF(Form_Responses[[#This Row],[9. In the last month, how often have you been angered or frustrated by situations outside your control, such as finances, academics, or relationships?]]="Sometimes",2,IF(Form_Responses[[#This Row],[9. In the last month, how often have you been angered or frustrated by situations outside your control, such as finances, academics, or relationships?]]="Fairly often",3,4))))</f>
        <v>4</v>
      </c>
      <c r="BM29" s="3" t="s">
        <v>105</v>
      </c>
      <c r="BN29" s="4">
        <f>IF(Form_Responses[[#This Row],[10. In the last month, how often have you felt that difficulties were piling up so much that you could not overcome them?]]="Never",0,IF(Form_Responses[[#This Row],[10. In the last month, how often have you felt that difficulties were piling up so much that you could not overcome them?]]="Almost never",1,IF(Form_Responses[[#This Row],[10. In the last month, how often have you felt that difficulties were piling up so much that you could not overcome them?]]="Sometimes",2,IF(Form_Responses[[#This Row],[10. In the last month, how often have you felt that difficulties were piling up so much that you could not overcome them?]]="Fairly often",3,4))))</f>
        <v>4</v>
      </c>
      <c r="BO29" s="4">
        <f>SUM(Form_Responses[[#This Row],[Score17]],Form_Responses[[#This Row],[Score18]],Form_Responses[[#This Row],[Score19]],Form_Responses[[#This Row],[Score20]],Form_Responses[[#This Row],[Score21]],Form_Responses[[#This Row],[Score22]],Form_Responses[[#This Row],[Score23]],Form_Responses[[#This Row],[Score24]],Form_Responses[[#This Row],[Score25]],Form_Responses[[#This Row],[Score26]])</f>
        <v>27</v>
      </c>
      <c r="BP29" s="4" t="str">
        <f>IF(Form_Responses[[#This Row],[Anxiety Score2]]&lt;=13,"Low stress",IF(Form_Responses[[#This Row],[Anxiety Score2]]&lt;=26,"Moderate stress","High stress"))</f>
        <v xml:space="preserve">High stress</v>
      </c>
      <c r="BQ29" s="3" t="s">
        <v>91</v>
      </c>
      <c r="BR29" s="3" t="s">
        <v>76</v>
      </c>
      <c r="BS29" s="3" t="s">
        <v>161</v>
      </c>
      <c r="BT29" s="3" t="s">
        <v>162</v>
      </c>
      <c r="BU29" s="3" t="s">
        <v>76</v>
      </c>
      <c r="BV29" s="3" t="s">
        <v>252</v>
      </c>
      <c r="BW29" s="3" t="s">
        <v>253</v>
      </c>
      <c r="BX29" s="3" t="s">
        <v>254</v>
      </c>
    </row>
    <row r="30" ht="22.5" customHeight="1">
      <c r="A30" s="2">
        <v>46196.417893773149</v>
      </c>
      <c r="B30" s="3" t="s">
        <v>76</v>
      </c>
      <c r="C30" s="3" t="s">
        <v>97</v>
      </c>
      <c r="D30" s="3" t="s">
        <v>78</v>
      </c>
      <c r="E30" s="3" t="s">
        <v>255</v>
      </c>
      <c r="F30" s="3" t="s">
        <v>256</v>
      </c>
      <c r="G30" s="3" t="s">
        <v>100</v>
      </c>
      <c r="H30" s="3" t="s">
        <v>122</v>
      </c>
      <c r="I30" s="3" t="s">
        <v>102</v>
      </c>
      <c r="J30" s="3" t="s">
        <v>103</v>
      </c>
      <c r="K30" s="3" t="s">
        <v>142</v>
      </c>
      <c r="L30" s="4">
        <f>IF(K30="Not at all",0,IF(K30="Several days",1,IF(K30="More than half the days",2,3)))</f>
        <v>3</v>
      </c>
      <c r="M30" s="3" t="s">
        <v>85</v>
      </c>
      <c r="N30" s="4">
        <f>IF(M30="Not at all",0,IF(M30="Several days",1,IF(M30="More than half the days",2,3)))</f>
        <v>0</v>
      </c>
      <c r="O30" s="3" t="s">
        <v>86</v>
      </c>
      <c r="P30" s="5">
        <f>IF(O30="Not at all",0,IF(O30="Several days",1,IF(O30="More than half the days",2,3)))</f>
        <v>1</v>
      </c>
      <c r="Q30" s="3" t="s">
        <v>86</v>
      </c>
      <c r="R30" s="4">
        <f>IF(Q30="Not at all",0,IF(Q30="Several days",1,IF(Q30="More than half the days",2,3)))</f>
        <v>1</v>
      </c>
      <c r="S30" s="3" t="s">
        <v>85</v>
      </c>
      <c r="T30" s="4">
        <f>IF(S30="Not at all",0,IF(S30="Several days",1,IF(S30="More than half the days",2,3)))</f>
        <v>0</v>
      </c>
      <c r="U30" s="3" t="s">
        <v>85</v>
      </c>
      <c r="V30" s="4">
        <f>IF(U30="Not at all",0,IF(U30="Several days",1,IF(U30="More than half the days",2,3)))</f>
        <v>0</v>
      </c>
      <c r="W30" s="3" t="s">
        <v>85</v>
      </c>
      <c r="X30" s="4">
        <f>IF(W30="Not at all",0,IF(W30="Several days",1,IF(W30="More than half the days",2,3)))</f>
        <v>0</v>
      </c>
      <c r="Y30" s="3" t="s">
        <v>85</v>
      </c>
      <c r="Z30" s="4">
        <f>IF(Y30="Not at all",0,IF(Y30="Several days",1,IF(Y30="More than half the days",2,3)))</f>
        <v>0</v>
      </c>
      <c r="AA30" s="3" t="s">
        <v>85</v>
      </c>
      <c r="AB30" s="4">
        <f>IF(AA30="Not at all",0,IF(AA30="Several days",1,IF(AA30="More than half the days",2,3)))</f>
        <v>0</v>
      </c>
      <c r="AC30" s="4">
        <f>SUM(Form_Responses[[#This Row],[Score]],Form_Responses[[#This Row],[Score2]],Form_Responses[[#This Row],[Score3]],Form_Responses[[#This Row],[Score4]],Form_Responses[[#This Row],[Score5]],Form_Responses[[#This Row],[Score6]],Form_Responses[[#This Row],[Score7]],Form_Responses[[#This Row],[Score8]],Form_Responses[[#This Row],[Score9]])</f>
        <v>5</v>
      </c>
      <c r="AD30" s="4" t="str">
        <f>IF(Form_Responses[[#This Row],[Depression Score ]]&lt;=4,"Minimal symptoms",IF(Form_Responses[[#This Row],[Depression Score ]]&lt;=9,"Mild Depression",IF(Form_Responses[[#This Row],[Depression Score ]]&lt;=14,"Moderate depression",IF(Form_Responses[[#This Row],[Depression Score ]]&lt;=19,"Moderately severe depression","Severe depression"))))</f>
        <v xml:space="preserve">Mild Depression</v>
      </c>
      <c r="AE30" s="3" t="s">
        <v>85</v>
      </c>
      <c r="AF30" s="4">
        <f>IF(AE30="Not at all",0,IF(AE30="Several days",1,IF(AE30="More than half the days",2,3)))</f>
        <v>0</v>
      </c>
      <c r="AG30" s="3" t="s">
        <v>85</v>
      </c>
      <c r="AH30" s="4">
        <f>IF(AG30="Not at all",0,IF(AG30="Several days",1,IF(AG30="More than half the days",2,3)))</f>
        <v>0</v>
      </c>
      <c r="AI30" s="3" t="s">
        <v>85</v>
      </c>
      <c r="AJ30" s="4">
        <f>IF(AI30="Not at all",0,IF(AI30="Several days",1,IF(AI30="More than half the days",2,3)))</f>
        <v>0</v>
      </c>
      <c r="AK30" s="3" t="s">
        <v>85</v>
      </c>
      <c r="AL30" s="4">
        <f>IF(AK30="Not at all",0,IF(AK30="Several days",1,IF(AK30="More than half the days",2,3)))</f>
        <v>0</v>
      </c>
      <c r="AM30" s="3" t="s">
        <v>85</v>
      </c>
      <c r="AN30" s="4">
        <f>IF(AM30="Not at all",0,IF(AM30="Several days",1,IF(AM30="More than half the days",2,3)))</f>
        <v>0</v>
      </c>
      <c r="AO30" s="3" t="s">
        <v>85</v>
      </c>
      <c r="AP30" s="4">
        <f>IF(AO30="Not at all",0,IF(AO30="Several days",1,IF(AO30="More than half the days",2,3)))</f>
        <v>0</v>
      </c>
      <c r="AQ30" s="3" t="s">
        <v>85</v>
      </c>
      <c r="AR30" s="4">
        <f>IF(AQ30="Not at all",0,IF(AQ30="Several days",1,IF(AQ30="More than half the days",2,3)))</f>
        <v>0</v>
      </c>
      <c r="AS30" s="4">
        <f>SUM(Form_Responses[[#This Row],[Score16]],Form_Responses[[#This Row],[Score10]],Form_Responses[[#This Row],[Score11]],Form_Responses[[#This Row],[Score12]],Form_Responses[[#This Row],[Score13]],Form_Responses[[#This Row],[Score14]],Form_Responses[[#This Row],[Score15]])</f>
        <v>0</v>
      </c>
      <c r="AT30" s="4" t="str">
        <f>IF(Form_Responses[[#This Row],[Anxiety Score]]&lt;=4,"Minimal anxiety",IF(Form_Responses[[#This Row],[Anxiety Score]]&lt;=9,"Mild anxiety",IF(Form_Responses[[#This Row],[Anxiety Score]]&lt;=14,"Moderate anxiety","Severe anxiety")))</f>
        <v xml:space="preserve">Minimal anxiety</v>
      </c>
      <c r="AU30" s="3" t="s">
        <v>124</v>
      </c>
      <c r="AV30" s="4">
        <f>IF(Form_Responses[[#This Row],[1. In the last month, how often have you been upset because of unexpected situations related to academics, finances, or personal life?]]="Never",0,IF(Form_Responses[[#This Row],[1. In the last month, how often have you been upset because of unexpected situations related to academics, finances, or personal life?]]="Almost never",1,IF(Form_Responses[[#This Row],[1. In the last month, how often have you been upset because of unexpected situations related to academics, finances, or personal life?]]="Sometimes",2,IF(Form_Responses[[#This Row],[1. In the last month, how often have you been upset because of unexpected situations related to academics, finances, or personal life?]]="Fairly often",3,4))))</f>
        <v>0</v>
      </c>
      <c r="AW30" s="3" t="s">
        <v>124</v>
      </c>
      <c r="AX30" s="5">
        <f>IF(Form_Responses[[#This Row],[2. In the last month, how often have you felt unable to control important things in your academic or personal life?]]="Never",0,IF(Form_Responses[[#This Row],[2. In the last month, how often have you felt unable to control important things in your academic or personal life?]]="Almost never",1,IF(Form_Responses[[#This Row],[2. In the last month, how often have you felt unable to control important things in your academic or personal life?]]="Sometimes",2,IF(Form_Responses[[#This Row],[2. In the last month, how often have you felt unable to control important things in your academic or personal life?]]="Fairly often",3,4))))</f>
        <v>0</v>
      </c>
      <c r="AY30" s="3" t="s">
        <v>124</v>
      </c>
      <c r="AZ30" s="4">
        <f>IF(Form_Responses[[#This Row],[3. In the last month, how often have you felt nervous or stressed because of university responsibilities or personal challenges?]]="Never",0,IF(Form_Responses[[#This Row],[3. In the last month, how often have you felt nervous or stressed because of university responsibilities or personal challenges?]]="Almost never",1,IF(Form_Responses[[#This Row],[3. In the last month, how often have you felt nervous or stressed because of university responsibilities or personal challenges?]]="Sometimes",2,IF(Form_Responses[[#This Row],[3. In the last month, how often have you felt nervous or stressed because of university responsibilities or personal challenges?]]="Fairly often",3,4))))</f>
        <v>0</v>
      </c>
      <c r="BA30" s="3" t="s">
        <v>124</v>
      </c>
      <c r="BB30" s="4">
        <f>IF(Form_Responses[[#This Row],[4. In the last month, how often have you felt confident about your ability to handle academic or personal problems?]]="Never",4,IF(Form_Responses[[#This Row],[4. In the last month, how often have you felt confident about your ability to handle academic or personal problems?]]="Almost never",3,IF(Form_Responses[[#This Row],[4. In the last month, how often have you felt confident about your ability to handle academic or personal problems?]]="Sometimes",2,IF(Form_Responses[[#This Row],[4. In the last month, how often have you felt confident about your ability to handle academic or personal problems?]]="Fairly often",1,0))))</f>
        <v>4</v>
      </c>
      <c r="BC30" s="3" t="s">
        <v>124</v>
      </c>
      <c r="BD30" s="4">
        <f>IF(Form_Responses[[#This Row],[5. In the last month, how often have you felt that things were going well in your studies or personal life?]]="Never",4,IF(Form_Responses[[#This Row],[5. In the last month, how often have you felt that things were going well in your studies or personal life?]]="Almost never",3,IF(Form_Responses[[#This Row],[5. In the last month, how often have you felt that things were going well in your studies or personal life?]]="Sometimes",2,IF(Form_Responses[[#This Row],[5. In the last month, how often have you felt that things were going well in your studies or personal life?]]="Fairly often",1,0))))</f>
        <v>4</v>
      </c>
      <c r="BE30" s="3" t="s">
        <v>124</v>
      </c>
      <c r="BF30" s="4">
        <f>IF(Form_Responses[[#This Row],[6. In the last month, how often have you felt unable to cope with coursework, deadlines, or daily responsibilities?]]="Never",0,IF(Form_Responses[[#This Row],[6. In the last month, how often have you felt unable to cope with coursework, deadlines, or daily responsibilities?]]="Almost never",1,IF(Form_Responses[[#This Row],[6. In the last month, how often have you felt unable to cope with coursework, deadlines, or daily responsibilities?]]="Sometimes",2,IF(Form_Responses[[#This Row],[6. In the last month, how often have you felt unable to cope with coursework, deadlines, or daily responsibilities?]]="Fairly often",3,4))))</f>
        <v>0</v>
      </c>
      <c r="BG30" s="3" t="s">
        <v>124</v>
      </c>
      <c r="BH30" s="4">
        <f>IF(Form_Responses[[#This Row],[7. In the last month, how often have you been able to control irritations or frustrations in your life?]]="Never",4,IF(Form_Responses[[#This Row],[7. In the last month, how often have you been able to control irritations or frustrations in your life?]]="Almost never",3,IF(Form_Responses[[#This Row],[7. In the last month, how often have you been able to control irritations or frustrations in your life?]]="Sometimes",2,IF(Form_Responses[[#This Row],[7. In the last month, how often have you been able to control irritations or frustrations in your life?]]="Fairly often",1,0))))</f>
        <v>4</v>
      </c>
      <c r="BI30" s="3" t="s">
        <v>124</v>
      </c>
      <c r="BJ30" s="4">
        <f>IF(Form_Responses[[#This Row],[8. In the last month, how often have you felt that you were managing your academic and personal responsibilities well?]]="Never",4,IF(Form_Responses[[#This Row],[8. In the last month, how often have you felt that you were managing your academic and personal responsibilities well?]]="Almost never",3,IF(Form_Responses[[#This Row],[8. In the last month, how often have you felt that you were managing your academic and personal responsibilities well?]]="Sometimes",2,IF(Form_Responses[[#This Row],[8. In the last month, how often have you felt that you were managing your academic and personal responsibilities well?]]="Fairly often",1,0))))</f>
        <v>4</v>
      </c>
      <c r="BK30" s="3" t="s">
        <v>124</v>
      </c>
      <c r="BL30" s="5">
        <f>IF(Form_Responses[[#This Row],[9. In the last month, how often have you been angered or frustrated by situations outside your control, such as finances, academics, or relationships?]]="Never",0,IF(Form_Responses[[#This Row],[9. In the last month, how often have you been angered or frustrated by situations outside your control, such as finances, academics, or relationships?]]="Almost never",1,IF(Form_Responses[[#This Row],[9. In the last month, how often have you been angered or frustrated by situations outside your control, such as finances, academics, or relationships?]]="Sometimes",2,IF(Form_Responses[[#This Row],[9. In the last month, how often have you been angered or frustrated by situations outside your control, such as finances, academics, or relationships?]]="Fairly often",3,4))))</f>
        <v>0</v>
      </c>
      <c r="BM30" s="3" t="s">
        <v>124</v>
      </c>
      <c r="BN30" s="4">
        <f>IF(Form_Responses[[#This Row],[10. In the last month, how often have you felt that difficulties were piling up so much that you could not overcome them?]]="Never",0,IF(Form_Responses[[#This Row],[10. In the last month, how often have you felt that difficulties were piling up so much that you could not overcome them?]]="Almost never",1,IF(Form_Responses[[#This Row],[10. In the last month, how often have you felt that difficulties were piling up so much that you could not overcome them?]]="Sometimes",2,IF(Form_Responses[[#This Row],[10. In the last month, how often have you felt that difficulties were piling up so much that you could not overcome them?]]="Fairly often",3,4))))</f>
        <v>0</v>
      </c>
      <c r="BO30" s="4">
        <f>SUM(Form_Responses[[#This Row],[Score17]],Form_Responses[[#This Row],[Score18]],Form_Responses[[#This Row],[Score19]],Form_Responses[[#This Row],[Score20]],Form_Responses[[#This Row],[Score21]],Form_Responses[[#This Row],[Score22]],Form_Responses[[#This Row],[Score23]],Form_Responses[[#This Row],[Score24]],Form_Responses[[#This Row],[Score25]],Form_Responses[[#This Row],[Score26]])</f>
        <v>16</v>
      </c>
      <c r="BP30" s="4" t="str">
        <f>IF(Form_Responses[[#This Row],[Anxiety Score2]]&lt;=13,"Low stress",IF(Form_Responses[[#This Row],[Anxiety Score2]]&lt;=26,"Moderate stress","High stress"))</f>
        <v xml:space="preserve">Moderate stress</v>
      </c>
      <c r="BQ30" s="3" t="s">
        <v>91</v>
      </c>
      <c r="BR30" s="3" t="s">
        <v>76</v>
      </c>
      <c r="BS30" s="3" t="s">
        <v>125</v>
      </c>
      <c r="BT30" s="3" t="s">
        <v>108</v>
      </c>
      <c r="BU30" s="3" t="s">
        <v>76</v>
      </c>
      <c r="BV30" s="3" t="s">
        <v>257</v>
      </c>
      <c r="BW30" s="3" t="s">
        <v>258</v>
      </c>
      <c r="BX30" s="3" t="s">
        <v>259</v>
      </c>
    </row>
    <row r="31" ht="22.5" customHeight="1">
      <c r="A31" s="2">
        <v>46197.370599895832</v>
      </c>
      <c r="B31" s="3" t="s">
        <v>76</v>
      </c>
      <c r="C31" s="3" t="s">
        <v>77</v>
      </c>
      <c r="D31" s="3" t="s">
        <v>112</v>
      </c>
      <c r="E31" s="3" t="s">
        <v>79</v>
      </c>
      <c r="F31" s="3" t="s">
        <v>130</v>
      </c>
      <c r="G31" s="3" t="s">
        <v>81</v>
      </c>
      <c r="H31" s="3" t="s">
        <v>122</v>
      </c>
      <c r="I31" s="3" t="s">
        <v>83</v>
      </c>
      <c r="J31" s="3" t="s">
        <v>84</v>
      </c>
      <c r="K31" s="3" t="s">
        <v>87</v>
      </c>
      <c r="L31" s="4">
        <f>IF(K31="Not at all",0,IF(K31="Several days",1,IF(K31="More than half the days",2,3)))</f>
        <v>2</v>
      </c>
      <c r="M31" s="3" t="s">
        <v>86</v>
      </c>
      <c r="N31" s="4">
        <f>IF(M31="Not at all",0,IF(M31="Several days",1,IF(M31="More than half the days",2,3)))</f>
        <v>1</v>
      </c>
      <c r="O31" s="3" t="s">
        <v>87</v>
      </c>
      <c r="P31" s="5">
        <f>IF(O31="Not at all",0,IF(O31="Several days",1,IF(O31="More than half the days",2,3)))</f>
        <v>2</v>
      </c>
      <c r="Q31" s="3" t="s">
        <v>86</v>
      </c>
      <c r="R31" s="4">
        <f>IF(Q31="Not at all",0,IF(Q31="Several days",1,IF(Q31="More than half the days",2,3)))</f>
        <v>1</v>
      </c>
      <c r="S31" s="3" t="s">
        <v>85</v>
      </c>
      <c r="T31" s="4">
        <f>IF(S31="Not at all",0,IF(S31="Several days",1,IF(S31="More than half the days",2,3)))</f>
        <v>0</v>
      </c>
      <c r="U31" s="3" t="s">
        <v>104</v>
      </c>
      <c r="V31" s="4">
        <f>IF(U31="Not at all",0,IF(U31="Several days",1,IF(U31="More than half the days",2,3)))</f>
        <v>3</v>
      </c>
      <c r="W31" s="3" t="s">
        <v>104</v>
      </c>
      <c r="X31" s="4">
        <f>IF(W31="Not at all",0,IF(W31="Several days",1,IF(W31="More than half the days",2,3)))</f>
        <v>3</v>
      </c>
      <c r="Y31" s="3" t="s">
        <v>85</v>
      </c>
      <c r="Z31" s="4">
        <f>IF(Y31="Not at all",0,IF(Y31="Several days",1,IF(Y31="More than half the days",2,3)))</f>
        <v>0</v>
      </c>
      <c r="AA31" s="3" t="s">
        <v>86</v>
      </c>
      <c r="AB31" s="4">
        <f>IF(AA31="Not at all",0,IF(AA31="Several days",1,IF(AA31="More than half the days",2,3)))</f>
        <v>1</v>
      </c>
      <c r="AC31" s="4">
        <f>SUM(Form_Responses[[#This Row],[Score]],Form_Responses[[#This Row],[Score2]],Form_Responses[[#This Row],[Score3]],Form_Responses[[#This Row],[Score4]],Form_Responses[[#This Row],[Score5]],Form_Responses[[#This Row],[Score6]],Form_Responses[[#This Row],[Score7]],Form_Responses[[#This Row],[Score8]],Form_Responses[[#This Row],[Score9]])</f>
        <v>13</v>
      </c>
      <c r="AD31" s="4" t="str">
        <f>IF(Form_Responses[[#This Row],[Depression Score ]]&lt;=4,"Minimal symptoms",IF(Form_Responses[[#This Row],[Depression Score ]]&lt;=9,"Mild Depression",IF(Form_Responses[[#This Row],[Depression Score ]]&lt;=14,"Moderate depression",IF(Form_Responses[[#This Row],[Depression Score ]]&lt;=19,"Moderately severe depression","Severe depression"))))</f>
        <v xml:space="preserve">Moderate depression</v>
      </c>
      <c r="AE31" s="3" t="s">
        <v>87</v>
      </c>
      <c r="AF31" s="4">
        <f>IF(AE31="Not at all",0,IF(AE31="Several days",1,IF(AE31="More than half the days",2,3)))</f>
        <v>2</v>
      </c>
      <c r="AG31" s="3" t="s">
        <v>87</v>
      </c>
      <c r="AH31" s="4">
        <f>IF(AG31="Not at all",0,IF(AG31="Several days",1,IF(AG31="More than half the days",2,3)))</f>
        <v>2</v>
      </c>
      <c r="AI31" s="3" t="s">
        <v>104</v>
      </c>
      <c r="AJ31" s="4">
        <f>IF(AI31="Not at all",0,IF(AI31="Several days",1,IF(AI31="More than half the days",2,3)))</f>
        <v>3</v>
      </c>
      <c r="AK31" s="3" t="s">
        <v>86</v>
      </c>
      <c r="AL31" s="4">
        <f>IF(AK31="Not at all",0,IF(AK31="Several days",1,IF(AK31="More than half the days",2,3)))</f>
        <v>1</v>
      </c>
      <c r="AM31" s="3" t="s">
        <v>86</v>
      </c>
      <c r="AN31" s="4">
        <f>IF(AM31="Not at all",0,IF(AM31="Several days",1,IF(AM31="More than half the days",2,3)))</f>
        <v>1</v>
      </c>
      <c r="AO31" s="3" t="s">
        <v>87</v>
      </c>
      <c r="AP31" s="4">
        <f>IF(AO31="Not at all",0,IF(AO31="Several days",1,IF(AO31="More than half the days",2,3)))</f>
        <v>2</v>
      </c>
      <c r="AQ31" s="3" t="s">
        <v>85</v>
      </c>
      <c r="AR31" s="4">
        <f>IF(AQ31="Not at all",0,IF(AQ31="Several days",1,IF(AQ31="More than half the days",2,3)))</f>
        <v>0</v>
      </c>
      <c r="AS31" s="4">
        <f>SUM(Form_Responses[[#This Row],[Score16]],Form_Responses[[#This Row],[Score10]],Form_Responses[[#This Row],[Score11]],Form_Responses[[#This Row],[Score12]],Form_Responses[[#This Row],[Score13]],Form_Responses[[#This Row],[Score14]],Form_Responses[[#This Row],[Score15]])</f>
        <v>11</v>
      </c>
      <c r="AT31" s="4" t="str">
        <f>IF(Form_Responses[[#This Row],[Anxiety Score]]&lt;=4,"Minimal anxiety",IF(Form_Responses[[#This Row],[Anxiety Score]]&lt;=9,"Mild anxiety",IF(Form_Responses[[#This Row],[Anxiety Score]]&lt;=14,"Moderate anxiety","Severe anxiety")))</f>
        <v xml:space="preserve">Moderate anxiety</v>
      </c>
      <c r="AU31" s="3" t="s">
        <v>88</v>
      </c>
      <c r="AV31" s="4">
        <f>IF(Form_Responses[[#This Row],[1. In the last month, how often have you been upset because of unexpected situations related to academics, finances, or personal life?]]="Never",0,IF(Form_Responses[[#This Row],[1. In the last month, how often have you been upset because of unexpected situations related to academics, finances, or personal life?]]="Almost never",1,IF(Form_Responses[[#This Row],[1. In the last month, how often have you been upset because of unexpected situations related to academics, finances, or personal life?]]="Sometimes",2,IF(Form_Responses[[#This Row],[1. In the last month, how often have you been upset because of unexpected situations related to academics, finances, or personal life?]]="Fairly often",3,4))))</f>
        <v>3</v>
      </c>
      <c r="AW31" s="3" t="s">
        <v>88</v>
      </c>
      <c r="AX31" s="5">
        <f>IF(Form_Responses[[#This Row],[2. In the last month, how often have you felt unable to control important things in your academic or personal life?]]="Never",0,IF(Form_Responses[[#This Row],[2. In the last month, how often have you felt unable to control important things in your academic or personal life?]]="Almost never",1,IF(Form_Responses[[#This Row],[2. In the last month, how often have you felt unable to control important things in your academic or personal life?]]="Sometimes",2,IF(Form_Responses[[#This Row],[2. In the last month, how often have you felt unable to control important things in your academic or personal life?]]="Fairly often",3,4))))</f>
        <v>3</v>
      </c>
      <c r="AY31" s="3" t="s">
        <v>105</v>
      </c>
      <c r="AZ31" s="4">
        <f>IF(Form_Responses[[#This Row],[3. In the last month, how often have you felt nervous or stressed because of university responsibilities or personal challenges?]]="Never",0,IF(Form_Responses[[#This Row],[3. In the last month, how often have you felt nervous or stressed because of university responsibilities or personal challenges?]]="Almost never",1,IF(Form_Responses[[#This Row],[3. In the last month, how often have you felt nervous or stressed because of university responsibilities or personal challenges?]]="Sometimes",2,IF(Form_Responses[[#This Row],[3. In the last month, how often have you felt nervous or stressed because of university responsibilities or personal challenges?]]="Fairly often",3,4))))</f>
        <v>4</v>
      </c>
      <c r="BA31" s="3" t="s">
        <v>90</v>
      </c>
      <c r="BB31" s="4">
        <f>IF(Form_Responses[[#This Row],[4. In the last month, how often have you felt confident about your ability to handle academic or personal problems?]]="Never",4,IF(Form_Responses[[#This Row],[4. In the last month, how often have you felt confident about your ability to handle academic or personal problems?]]="Almost never",3,IF(Form_Responses[[#This Row],[4. In the last month, how often have you felt confident about your ability to handle academic or personal problems?]]="Sometimes",2,IF(Form_Responses[[#This Row],[4. In the last month, how often have you felt confident about your ability to handle academic or personal problems?]]="Fairly often",1,0))))</f>
        <v>3</v>
      </c>
      <c r="BC31" s="3" t="s">
        <v>90</v>
      </c>
      <c r="BD31" s="4">
        <f>IF(Form_Responses[[#This Row],[5. In the last month, how often have you felt that things were going well in your studies or personal life?]]="Never",4,IF(Form_Responses[[#This Row],[5. In the last month, how often have you felt that things were going well in your studies or personal life?]]="Almost never",3,IF(Form_Responses[[#This Row],[5. In the last month, how often have you felt that things were going well in your studies or personal life?]]="Sometimes",2,IF(Form_Responses[[#This Row],[5. In the last month, how often have you felt that things were going well in your studies or personal life?]]="Fairly often",1,0))))</f>
        <v>3</v>
      </c>
      <c r="BE31" s="3" t="s">
        <v>88</v>
      </c>
      <c r="BF31" s="4">
        <f>IF(Form_Responses[[#This Row],[6. In the last month, how often have you felt unable to cope with coursework, deadlines, or daily responsibilities?]]="Never",0,IF(Form_Responses[[#This Row],[6. In the last month, how often have you felt unable to cope with coursework, deadlines, or daily responsibilities?]]="Almost never",1,IF(Form_Responses[[#This Row],[6. In the last month, how often have you felt unable to cope with coursework, deadlines, or daily responsibilities?]]="Sometimes",2,IF(Form_Responses[[#This Row],[6. In the last month, how often have you felt unable to cope with coursework, deadlines, or daily responsibilities?]]="Fairly often",3,4))))</f>
        <v>3</v>
      </c>
      <c r="BG31" s="3" t="s">
        <v>89</v>
      </c>
      <c r="BH31" s="4">
        <f>IF(Form_Responses[[#This Row],[7. In the last month, how often have you been able to control irritations or frustrations in your life?]]="Never",4,IF(Form_Responses[[#This Row],[7. In the last month, how often have you been able to control irritations or frustrations in your life?]]="Almost never",3,IF(Form_Responses[[#This Row],[7. In the last month, how often have you been able to control irritations or frustrations in your life?]]="Sometimes",2,IF(Form_Responses[[#This Row],[7. In the last month, how often have you been able to control irritations or frustrations in your life?]]="Fairly often",1,0))))</f>
        <v>2</v>
      </c>
      <c r="BI31" s="3" t="s">
        <v>90</v>
      </c>
      <c r="BJ31" s="4">
        <f>IF(Form_Responses[[#This Row],[8. In the last month, how often have you felt that you were managing your academic and personal responsibilities well?]]="Never",4,IF(Form_Responses[[#This Row],[8. In the last month, how often have you felt that you were managing your academic and personal responsibilities well?]]="Almost never",3,IF(Form_Responses[[#This Row],[8. In the last month, how often have you felt that you were managing your academic and personal responsibilities well?]]="Sometimes",2,IF(Form_Responses[[#This Row],[8. In the last month, how often have you felt that you were managing your academic and personal responsibilities well?]]="Fairly often",1,0))))</f>
        <v>3</v>
      </c>
      <c r="BK31" s="3" t="s">
        <v>88</v>
      </c>
      <c r="BL31" s="5">
        <f>IF(Form_Responses[[#This Row],[9. In the last month, how often have you been angered or frustrated by situations outside your control, such as finances, academics, or relationships?]]="Never",0,IF(Form_Responses[[#This Row],[9. In the last month, how often have you been angered or frustrated by situations outside your control, such as finances, academics, or relationships?]]="Almost never",1,IF(Form_Responses[[#This Row],[9. In the last month, how often have you been angered or frustrated by situations outside your control, such as finances, academics, or relationships?]]="Sometimes",2,IF(Form_Responses[[#This Row],[9. In the last month, how often have you been angered or frustrated by situations outside your control, such as finances, academics, or relationships?]]="Fairly often",3,4))))</f>
        <v>3</v>
      </c>
      <c r="BM31" s="3" t="s">
        <v>89</v>
      </c>
      <c r="BN31" s="4">
        <f>IF(Form_Responses[[#This Row],[10. In the last month, how often have you felt that difficulties were piling up so much that you could not overcome them?]]="Never",0,IF(Form_Responses[[#This Row],[10. In the last month, how often have you felt that difficulties were piling up so much that you could not overcome them?]]="Almost never",1,IF(Form_Responses[[#This Row],[10. In the last month, how often have you felt that difficulties were piling up so much that you could not overcome them?]]="Sometimes",2,IF(Form_Responses[[#This Row],[10. In the last month, how often have you felt that difficulties were piling up so much that you could not overcome them?]]="Fairly often",3,4))))</f>
        <v>2</v>
      </c>
      <c r="BO31" s="4">
        <f>SUM(Form_Responses[[#This Row],[Score17]],Form_Responses[[#This Row],[Score18]],Form_Responses[[#This Row],[Score19]],Form_Responses[[#This Row],[Score20]],Form_Responses[[#This Row],[Score21]],Form_Responses[[#This Row],[Score22]],Form_Responses[[#This Row],[Score23]],Form_Responses[[#This Row],[Score24]],Form_Responses[[#This Row],[Score25]],Form_Responses[[#This Row],[Score26]])</f>
        <v>29</v>
      </c>
      <c r="BP31" s="4" t="str">
        <f>IF(Form_Responses[[#This Row],[Anxiety Score2]]&lt;=13,"Low stress",IF(Form_Responses[[#This Row],[Anxiety Score2]]&lt;=26,"Moderate stress","High stress"))</f>
        <v xml:space="preserve">High stress</v>
      </c>
      <c r="BQ31" s="3" t="s">
        <v>76</v>
      </c>
      <c r="BR31" s="3" t="s">
        <v>106</v>
      </c>
      <c r="BS31" s="3" t="s">
        <v>161</v>
      </c>
      <c r="BT31" s="3" t="s">
        <v>248</v>
      </c>
      <c r="BU31" s="3" t="s">
        <v>106</v>
      </c>
      <c r="BV31" s="3" t="s">
        <v>260</v>
      </c>
      <c r="BW31" s="3" t="s">
        <v>261</v>
      </c>
      <c r="BX31" s="3" t="s">
        <v>262</v>
      </c>
    </row>
    <row r="32" ht="22.5" customHeight="1">
      <c r="A32" s="2">
        <v>46197.440886979166</v>
      </c>
      <c r="B32" s="3" t="s">
        <v>76</v>
      </c>
      <c r="C32" s="3" t="s">
        <v>154</v>
      </c>
      <c r="D32" s="3" t="s">
        <v>78</v>
      </c>
      <c r="E32" s="3" t="s">
        <v>79</v>
      </c>
      <c r="F32" s="3" t="s">
        <v>241</v>
      </c>
      <c r="G32" s="3" t="s">
        <v>81</v>
      </c>
      <c r="H32" s="3" t="s">
        <v>101</v>
      </c>
      <c r="I32" s="3" t="s">
        <v>114</v>
      </c>
      <c r="J32" s="3" t="s">
        <v>84</v>
      </c>
      <c r="K32" s="3" t="s">
        <v>85</v>
      </c>
      <c r="L32" s="4">
        <f>IF(K32="Not at all",0,IF(K32="Several days",1,IF(K32="More than half the days",2,3)))</f>
        <v>0</v>
      </c>
      <c r="M32" s="3" t="s">
        <v>85</v>
      </c>
      <c r="N32" s="4">
        <f>IF(M32="Not at all",0,IF(M32="Several days",1,IF(M32="More than half the days",2,3)))</f>
        <v>0</v>
      </c>
      <c r="O32" s="3" t="s">
        <v>85</v>
      </c>
      <c r="P32" s="5">
        <f>IF(O32="Not at all",0,IF(O32="Several days",1,IF(O32="More than half the days",2,3)))</f>
        <v>0</v>
      </c>
      <c r="Q32" s="3" t="s">
        <v>87</v>
      </c>
      <c r="R32" s="4">
        <f>IF(Q32="Not at all",0,IF(Q32="Several days",1,IF(Q32="More than half the days",2,3)))</f>
        <v>2</v>
      </c>
      <c r="S32" s="3" t="s">
        <v>85</v>
      </c>
      <c r="T32" s="4">
        <f>IF(S32="Not at all",0,IF(S32="Several days",1,IF(S32="More than half the days",2,3)))</f>
        <v>0</v>
      </c>
      <c r="U32" s="3" t="s">
        <v>85</v>
      </c>
      <c r="V32" s="4">
        <f>IF(U32="Not at all",0,IF(U32="Several days",1,IF(U32="More than half the days",2,3)))</f>
        <v>0</v>
      </c>
      <c r="W32" s="3" t="s">
        <v>87</v>
      </c>
      <c r="X32" s="4">
        <f>IF(W32="Not at all",0,IF(W32="Several days",1,IF(W32="More than half the days",2,3)))</f>
        <v>2</v>
      </c>
      <c r="Y32" s="3" t="s">
        <v>87</v>
      </c>
      <c r="Z32" s="4">
        <f>IF(Y32="Not at all",0,IF(Y32="Several days",1,IF(Y32="More than half the days",2,3)))</f>
        <v>2</v>
      </c>
      <c r="AA32" s="3" t="s">
        <v>85</v>
      </c>
      <c r="AB32" s="4">
        <f>IF(AA32="Not at all",0,IF(AA32="Several days",1,IF(AA32="More than half the days",2,3)))</f>
        <v>0</v>
      </c>
      <c r="AC32" s="4">
        <f>SUM(Form_Responses[[#This Row],[Score]],Form_Responses[[#This Row],[Score2]],Form_Responses[[#This Row],[Score3]],Form_Responses[[#This Row],[Score4]],Form_Responses[[#This Row],[Score5]],Form_Responses[[#This Row],[Score6]],Form_Responses[[#This Row],[Score7]],Form_Responses[[#This Row],[Score8]],Form_Responses[[#This Row],[Score9]])</f>
        <v>6</v>
      </c>
      <c r="AD32" s="4" t="str">
        <f>IF(Form_Responses[[#This Row],[Depression Score ]]&lt;=4,"Minimal symptoms",IF(Form_Responses[[#This Row],[Depression Score ]]&lt;=9,"Mild Depression",IF(Form_Responses[[#This Row],[Depression Score ]]&lt;=14,"Moderate depression",IF(Form_Responses[[#This Row],[Depression Score ]]&lt;=19,"Moderately severe depression","Severe depression"))))</f>
        <v xml:space="preserve">Mild Depression</v>
      </c>
      <c r="AE32" s="3" t="s">
        <v>85</v>
      </c>
      <c r="AF32" s="4">
        <f>IF(AE32="Not at all",0,IF(AE32="Several days",1,IF(AE32="More than half the days",2,3)))</f>
        <v>0</v>
      </c>
      <c r="AG32" s="3" t="s">
        <v>85</v>
      </c>
      <c r="AH32" s="4">
        <f>IF(AG32="Not at all",0,IF(AG32="Several days",1,IF(AG32="More than half the days",2,3)))</f>
        <v>0</v>
      </c>
      <c r="AI32" s="3" t="s">
        <v>87</v>
      </c>
      <c r="AJ32" s="4">
        <f>IF(AI32="Not at all",0,IF(AI32="Several days",1,IF(AI32="More than half the days",2,3)))</f>
        <v>2</v>
      </c>
      <c r="AK32" s="3" t="s">
        <v>85</v>
      </c>
      <c r="AL32" s="4">
        <f>IF(AK32="Not at all",0,IF(AK32="Several days",1,IF(AK32="More than half the days",2,3)))</f>
        <v>0</v>
      </c>
      <c r="AM32" s="3" t="s">
        <v>85</v>
      </c>
      <c r="AN32" s="4">
        <f>IF(AM32="Not at all",0,IF(AM32="Several days",1,IF(AM32="More than half the days",2,3)))</f>
        <v>0</v>
      </c>
      <c r="AO32" s="3" t="s">
        <v>85</v>
      </c>
      <c r="AP32" s="4">
        <f>IF(AO32="Not at all",0,IF(AO32="Several days",1,IF(AO32="More than half the days",2,3)))</f>
        <v>0</v>
      </c>
      <c r="AQ32" s="3" t="s">
        <v>85</v>
      </c>
      <c r="AR32" s="4">
        <f>IF(AQ32="Not at all",0,IF(AQ32="Several days",1,IF(AQ32="More than half the days",2,3)))</f>
        <v>0</v>
      </c>
      <c r="AS32" s="4">
        <f>SUM(Form_Responses[[#This Row],[Score16]],Form_Responses[[#This Row],[Score10]],Form_Responses[[#This Row],[Score11]],Form_Responses[[#This Row],[Score12]],Form_Responses[[#This Row],[Score13]],Form_Responses[[#This Row],[Score14]],Form_Responses[[#This Row],[Score15]])</f>
        <v>2</v>
      </c>
      <c r="AT32" s="4" t="str">
        <f>IF(Form_Responses[[#This Row],[Anxiety Score]]&lt;=4,"Minimal anxiety",IF(Form_Responses[[#This Row],[Anxiety Score]]&lt;=9,"Mild anxiety",IF(Form_Responses[[#This Row],[Anxiety Score]]&lt;=14,"Moderate anxiety","Severe anxiety")))</f>
        <v xml:space="preserve">Minimal anxiety</v>
      </c>
      <c r="AU32" s="3" t="s">
        <v>89</v>
      </c>
      <c r="AV32" s="4">
        <f>IF(Form_Responses[[#This Row],[1. In the last month, how often have you been upset because of unexpected situations related to academics, finances, or personal life?]]="Never",0,IF(Form_Responses[[#This Row],[1. In the last month, how often have you been upset because of unexpected situations related to academics, finances, or personal life?]]="Almost never",1,IF(Form_Responses[[#This Row],[1. In the last month, how often have you been upset because of unexpected situations related to academics, finances, or personal life?]]="Sometimes",2,IF(Form_Responses[[#This Row],[1. In the last month, how often have you been upset because of unexpected situations related to academics, finances, or personal life?]]="Fairly often",3,4))))</f>
        <v>2</v>
      </c>
      <c r="AW32" s="3" t="s">
        <v>89</v>
      </c>
      <c r="AX32" s="5">
        <f>IF(Form_Responses[[#This Row],[2. In the last month, how often have you felt unable to control important things in your academic or personal life?]]="Never",0,IF(Form_Responses[[#This Row],[2. In the last month, how often have you felt unable to control important things in your academic or personal life?]]="Almost never",1,IF(Form_Responses[[#This Row],[2. In the last month, how often have you felt unable to control important things in your academic or personal life?]]="Sometimes",2,IF(Form_Responses[[#This Row],[2. In the last month, how often have you felt unable to control important things in your academic or personal life?]]="Fairly often",3,4))))</f>
        <v>2</v>
      </c>
      <c r="AY32" s="3" t="s">
        <v>88</v>
      </c>
      <c r="AZ32" s="4">
        <f>IF(Form_Responses[[#This Row],[3. In the last month, how often have you felt nervous or stressed because of university responsibilities or personal challenges?]]="Never",0,IF(Form_Responses[[#This Row],[3. In the last month, how often have you felt nervous or stressed because of university responsibilities or personal challenges?]]="Almost never",1,IF(Form_Responses[[#This Row],[3. In the last month, how often have you felt nervous or stressed because of university responsibilities or personal challenges?]]="Sometimes",2,IF(Form_Responses[[#This Row],[3. In the last month, how often have you felt nervous or stressed because of university responsibilities or personal challenges?]]="Fairly often",3,4))))</f>
        <v>3</v>
      </c>
      <c r="BA32" s="3" t="s">
        <v>105</v>
      </c>
      <c r="BB32" s="4">
        <f>IF(Form_Responses[[#This Row],[4. In the last month, how often have you felt confident about your ability to handle academic or personal problems?]]="Never",4,IF(Form_Responses[[#This Row],[4. In the last month, how often have you felt confident about your ability to handle academic or personal problems?]]="Almost never",3,IF(Form_Responses[[#This Row],[4. In the last month, how often have you felt confident about your ability to handle academic or personal problems?]]="Sometimes",2,IF(Form_Responses[[#This Row],[4. In the last month, how often have you felt confident about your ability to handle academic or personal problems?]]="Fairly often",1,0))))</f>
        <v>0</v>
      </c>
      <c r="BC32" s="3" t="s">
        <v>88</v>
      </c>
      <c r="BD32" s="4">
        <f>IF(Form_Responses[[#This Row],[5. In the last month, how often have you felt that things were going well in your studies or personal life?]]="Never",4,IF(Form_Responses[[#This Row],[5. In the last month, how often have you felt that things were going well in your studies or personal life?]]="Almost never",3,IF(Form_Responses[[#This Row],[5. In the last month, how often have you felt that things were going well in your studies or personal life?]]="Sometimes",2,IF(Form_Responses[[#This Row],[5. In the last month, how often have you felt that things were going well in your studies or personal life?]]="Fairly often",1,0))))</f>
        <v>1</v>
      </c>
      <c r="BE32" s="3" t="s">
        <v>89</v>
      </c>
      <c r="BF32" s="4">
        <f>IF(Form_Responses[[#This Row],[6. In the last month, how often have you felt unable to cope with coursework, deadlines, or daily responsibilities?]]="Never",0,IF(Form_Responses[[#This Row],[6. In the last month, how often have you felt unable to cope with coursework, deadlines, or daily responsibilities?]]="Almost never",1,IF(Form_Responses[[#This Row],[6. In the last month, how often have you felt unable to cope with coursework, deadlines, or daily responsibilities?]]="Sometimes",2,IF(Form_Responses[[#This Row],[6. In the last month, how often have you felt unable to cope with coursework, deadlines, or daily responsibilities?]]="Fairly often",3,4))))</f>
        <v>2</v>
      </c>
      <c r="BG32" s="3" t="s">
        <v>88</v>
      </c>
      <c r="BH32" s="4">
        <f>IF(Form_Responses[[#This Row],[7. In the last month, how often have you been able to control irritations or frustrations in your life?]]="Never",4,IF(Form_Responses[[#This Row],[7. In the last month, how often have you been able to control irritations or frustrations in your life?]]="Almost never",3,IF(Form_Responses[[#This Row],[7. In the last month, how often have you been able to control irritations or frustrations in your life?]]="Sometimes",2,IF(Form_Responses[[#This Row],[7. In the last month, how often have you been able to control irritations or frustrations in your life?]]="Fairly often",1,0))))</f>
        <v>1</v>
      </c>
      <c r="BI32" s="3" t="s">
        <v>88</v>
      </c>
      <c r="BJ32" s="4">
        <f>IF(Form_Responses[[#This Row],[8. In the last month, how often have you felt that you were managing your academic and personal responsibilities well?]]="Never",4,IF(Form_Responses[[#This Row],[8. In the last month, how often have you felt that you were managing your academic and personal responsibilities well?]]="Almost never",3,IF(Form_Responses[[#This Row],[8. In the last month, how often have you felt that you were managing your academic and personal responsibilities well?]]="Sometimes",2,IF(Form_Responses[[#This Row],[8. In the last month, how often have you felt that you were managing your academic and personal responsibilities well?]]="Fairly often",1,0))))</f>
        <v>1</v>
      </c>
      <c r="BK32" s="3" t="s">
        <v>89</v>
      </c>
      <c r="BL32" s="5">
        <f>IF(Form_Responses[[#This Row],[9. In the last month, how often have you been angered or frustrated by situations outside your control, such as finances, academics, or relationships?]]="Never",0,IF(Form_Responses[[#This Row],[9. In the last month, how often have you been angered or frustrated by situations outside your control, such as finances, academics, or relationships?]]="Almost never",1,IF(Form_Responses[[#This Row],[9. In the last month, how often have you been angered or frustrated by situations outside your control, such as finances, academics, or relationships?]]="Sometimes",2,IF(Form_Responses[[#This Row],[9. In the last month, how often have you been angered or frustrated by situations outside your control, such as finances, academics, or relationships?]]="Fairly often",3,4))))</f>
        <v>2</v>
      </c>
      <c r="BM32" s="3" t="s">
        <v>89</v>
      </c>
      <c r="BN32" s="4">
        <f>IF(Form_Responses[[#This Row],[10. In the last month, how often have you felt that difficulties were piling up so much that you could not overcome them?]]="Never",0,IF(Form_Responses[[#This Row],[10. In the last month, how often have you felt that difficulties were piling up so much that you could not overcome them?]]="Almost never",1,IF(Form_Responses[[#This Row],[10. In the last month, how often have you felt that difficulties were piling up so much that you could not overcome them?]]="Sometimes",2,IF(Form_Responses[[#This Row],[10. In the last month, how often have you felt that difficulties were piling up so much that you could not overcome them?]]="Fairly often",3,4))))</f>
        <v>2</v>
      </c>
      <c r="BO32" s="4">
        <f>SUM(Form_Responses[[#This Row],[Score17]],Form_Responses[[#This Row],[Score18]],Form_Responses[[#This Row],[Score19]],Form_Responses[[#This Row],[Score20]],Form_Responses[[#This Row],[Score21]],Form_Responses[[#This Row],[Score22]],Form_Responses[[#This Row],[Score23]],Form_Responses[[#This Row],[Score24]],Form_Responses[[#This Row],[Score25]],Form_Responses[[#This Row],[Score26]])</f>
        <v>16</v>
      </c>
      <c r="BP32" s="4" t="str">
        <f>IF(Form_Responses[[#This Row],[Anxiety Score2]]&lt;=13,"Low stress",IF(Form_Responses[[#This Row],[Anxiety Score2]]&lt;=26,"Moderate stress","High stress"))</f>
        <v xml:space="preserve">Moderate stress</v>
      </c>
      <c r="BQ32" s="3" t="s">
        <v>76</v>
      </c>
      <c r="BR32" s="3" t="s">
        <v>76</v>
      </c>
      <c r="BS32" s="3" t="s">
        <v>263</v>
      </c>
      <c r="BT32" s="3" t="s">
        <v>264</v>
      </c>
      <c r="BU32" s="3" t="s">
        <v>76</v>
      </c>
      <c r="BV32" s="3" t="s">
        <v>265</v>
      </c>
      <c r="BW32" s="3" t="s">
        <v>266</v>
      </c>
      <c r="BX32" s="3" t="s">
        <v>267</v>
      </c>
    </row>
    <row r="33" ht="22.5" customHeight="1">
      <c r="A33" s="2">
        <v>46198.675397592597</v>
      </c>
      <c r="B33" s="3" t="s">
        <v>76</v>
      </c>
      <c r="C33" s="3" t="s">
        <v>154</v>
      </c>
      <c r="D33" s="3" t="s">
        <v>78</v>
      </c>
      <c r="E33" s="3" t="s">
        <v>98</v>
      </c>
      <c r="F33" s="3" t="s">
        <v>80</v>
      </c>
      <c r="G33" s="3" t="s">
        <v>81</v>
      </c>
      <c r="H33" s="3" t="s">
        <v>101</v>
      </c>
      <c r="I33" s="3" t="s">
        <v>83</v>
      </c>
      <c r="J33" s="3" t="s">
        <v>84</v>
      </c>
      <c r="K33" s="3" t="s">
        <v>85</v>
      </c>
      <c r="L33" s="4">
        <f>IF(K33="Not at all",0,IF(K33="Several days",1,IF(K33="More than half the days",2,3)))</f>
        <v>0</v>
      </c>
      <c r="M33" s="3" t="s">
        <v>85</v>
      </c>
      <c r="N33" s="4">
        <f>IF(M33="Not at all",0,IF(M33="Several days",1,IF(M33="More than half the days",2,3)))</f>
        <v>0</v>
      </c>
      <c r="O33" s="3" t="s">
        <v>85</v>
      </c>
      <c r="P33" s="5">
        <f>IF(O33="Not at all",0,IF(O33="Several days",1,IF(O33="More than half the days",2,3)))</f>
        <v>0</v>
      </c>
      <c r="Q33" s="3" t="s">
        <v>85</v>
      </c>
      <c r="R33" s="4">
        <f>IF(Q33="Not at all",0,IF(Q33="Several days",1,IF(Q33="More than half the days",2,3)))</f>
        <v>0</v>
      </c>
      <c r="S33" s="3" t="s">
        <v>85</v>
      </c>
      <c r="T33" s="4">
        <f>IF(S33="Not at all",0,IF(S33="Several days",1,IF(S33="More than half the days",2,3)))</f>
        <v>0</v>
      </c>
      <c r="U33" s="3" t="s">
        <v>85</v>
      </c>
      <c r="V33" s="4">
        <f>IF(U33="Not at all",0,IF(U33="Several days",1,IF(U33="More than half the days",2,3)))</f>
        <v>0</v>
      </c>
      <c r="W33" s="3" t="s">
        <v>85</v>
      </c>
      <c r="X33" s="4">
        <f>IF(W33="Not at all",0,IF(W33="Several days",1,IF(W33="More than half the days",2,3)))</f>
        <v>0</v>
      </c>
      <c r="Y33" s="3" t="s">
        <v>85</v>
      </c>
      <c r="Z33" s="4">
        <f>IF(Y33="Not at all",0,IF(Y33="Several days",1,IF(Y33="More than half the days",2,3)))</f>
        <v>0</v>
      </c>
      <c r="AA33" s="3" t="s">
        <v>85</v>
      </c>
      <c r="AB33" s="4">
        <f>IF(AA33="Not at all",0,IF(AA33="Several days",1,IF(AA33="More than half the days",2,3)))</f>
        <v>0</v>
      </c>
      <c r="AC33" s="4">
        <f>SUM(Form_Responses[[#This Row],[Score]],Form_Responses[[#This Row],[Score2]],Form_Responses[[#This Row],[Score3]],Form_Responses[[#This Row],[Score4]],Form_Responses[[#This Row],[Score5]],Form_Responses[[#This Row],[Score6]],Form_Responses[[#This Row],[Score7]],Form_Responses[[#This Row],[Score8]],Form_Responses[[#This Row],[Score9]])</f>
        <v>0</v>
      </c>
      <c r="AD33" s="4" t="str">
        <f>IF(Form_Responses[[#This Row],[Depression Score ]]&lt;=4,"Minimal symptoms",IF(Form_Responses[[#This Row],[Depression Score ]]&lt;=9,"Mild Depression",IF(Form_Responses[[#This Row],[Depression Score ]]&lt;=14,"Moderate depression",IF(Form_Responses[[#This Row],[Depression Score ]]&lt;=19,"Moderately severe depression","Severe depression"))))</f>
        <v xml:space="preserve">Minimal symptoms</v>
      </c>
      <c r="AE33" s="3" t="s">
        <v>85</v>
      </c>
      <c r="AF33" s="4">
        <f>IF(AE33="Not at all",0,IF(AE33="Several days",1,IF(AE33="More than half the days",2,3)))</f>
        <v>0</v>
      </c>
      <c r="AG33" s="3" t="s">
        <v>85</v>
      </c>
      <c r="AH33" s="4">
        <f>IF(AG33="Not at all",0,IF(AG33="Several days",1,IF(AG33="More than half the days",2,3)))</f>
        <v>0</v>
      </c>
      <c r="AI33" s="3" t="s">
        <v>85</v>
      </c>
      <c r="AJ33" s="4">
        <f>IF(AI33="Not at all",0,IF(AI33="Several days",1,IF(AI33="More than half the days",2,3)))</f>
        <v>0</v>
      </c>
      <c r="AK33" s="3" t="s">
        <v>85</v>
      </c>
      <c r="AL33" s="4">
        <f>IF(AK33="Not at all",0,IF(AK33="Several days",1,IF(AK33="More than half the days",2,3)))</f>
        <v>0</v>
      </c>
      <c r="AM33" s="3" t="s">
        <v>85</v>
      </c>
      <c r="AN33" s="4">
        <f>IF(AM33="Not at all",0,IF(AM33="Several days",1,IF(AM33="More than half the days",2,3)))</f>
        <v>0</v>
      </c>
      <c r="AO33" s="3" t="s">
        <v>85</v>
      </c>
      <c r="AP33" s="4">
        <f>IF(AO33="Not at all",0,IF(AO33="Several days",1,IF(AO33="More than half the days",2,3)))</f>
        <v>0</v>
      </c>
      <c r="AQ33" s="3" t="s">
        <v>85</v>
      </c>
      <c r="AR33" s="4">
        <f>IF(AQ33="Not at all",0,IF(AQ33="Several days",1,IF(AQ33="More than half the days",2,3)))</f>
        <v>0</v>
      </c>
      <c r="AS33" s="4">
        <f>SUM(Form_Responses[[#This Row],[Score16]],Form_Responses[[#This Row],[Score10]],Form_Responses[[#This Row],[Score11]],Form_Responses[[#This Row],[Score12]],Form_Responses[[#This Row],[Score13]],Form_Responses[[#This Row],[Score14]],Form_Responses[[#This Row],[Score15]])</f>
        <v>0</v>
      </c>
      <c r="AT33" s="4" t="str">
        <f>IF(Form_Responses[[#This Row],[Anxiety Score]]&lt;=4,"Minimal anxiety",IF(Form_Responses[[#This Row],[Anxiety Score]]&lt;=9,"Mild anxiety",IF(Form_Responses[[#This Row],[Anxiety Score]]&lt;=14,"Moderate anxiety","Severe anxiety")))</f>
        <v xml:space="preserve">Minimal anxiety</v>
      </c>
      <c r="AU33" s="3" t="s">
        <v>89</v>
      </c>
      <c r="AV33" s="4">
        <f>IF(Form_Responses[[#This Row],[1. In the last month, how often have you been upset because of unexpected situations related to academics, finances, or personal life?]]="Never",0,IF(Form_Responses[[#This Row],[1. In the last month, how often have you been upset because of unexpected situations related to academics, finances, or personal life?]]="Almost never",1,IF(Form_Responses[[#This Row],[1. In the last month, how often have you been upset because of unexpected situations related to academics, finances, or personal life?]]="Sometimes",2,IF(Form_Responses[[#This Row],[1. In the last month, how often have you been upset because of unexpected situations related to academics, finances, or personal life?]]="Fairly often",3,4))))</f>
        <v>2</v>
      </c>
      <c r="AW33" s="3" t="s">
        <v>89</v>
      </c>
      <c r="AX33" s="5">
        <f>IF(Form_Responses[[#This Row],[2. In the last month, how often have you felt unable to control important things in your academic or personal life?]]="Never",0,IF(Form_Responses[[#This Row],[2. In the last month, how often have you felt unable to control important things in your academic or personal life?]]="Almost never",1,IF(Form_Responses[[#This Row],[2. In the last month, how often have you felt unable to control important things in your academic or personal life?]]="Sometimes",2,IF(Form_Responses[[#This Row],[2. In the last month, how often have you felt unable to control important things in your academic or personal life?]]="Fairly often",3,4))))</f>
        <v>2</v>
      </c>
      <c r="AY33" s="3" t="s">
        <v>89</v>
      </c>
      <c r="AZ33" s="4">
        <f>IF(Form_Responses[[#This Row],[3. In the last month, how often have you felt nervous or stressed because of university responsibilities or personal challenges?]]="Never",0,IF(Form_Responses[[#This Row],[3. In the last month, how often have you felt nervous or stressed because of university responsibilities or personal challenges?]]="Almost never",1,IF(Form_Responses[[#This Row],[3. In the last month, how often have you felt nervous or stressed because of university responsibilities or personal challenges?]]="Sometimes",2,IF(Form_Responses[[#This Row],[3. In the last month, how often have you felt nervous or stressed because of university responsibilities or personal challenges?]]="Fairly often",3,4))))</f>
        <v>2</v>
      </c>
      <c r="BA33" s="3" t="s">
        <v>89</v>
      </c>
      <c r="BB33" s="4">
        <f>IF(Form_Responses[[#This Row],[4. In the last month, how often have you felt confident about your ability to handle academic or personal problems?]]="Never",4,IF(Form_Responses[[#This Row],[4. In the last month, how often have you felt confident about your ability to handle academic or personal problems?]]="Almost never",3,IF(Form_Responses[[#This Row],[4. In the last month, how often have you felt confident about your ability to handle academic or personal problems?]]="Sometimes",2,IF(Form_Responses[[#This Row],[4. In the last month, how often have you felt confident about your ability to handle academic or personal problems?]]="Fairly often",1,0))))</f>
        <v>2</v>
      </c>
      <c r="BC33" s="3" t="s">
        <v>89</v>
      </c>
      <c r="BD33" s="4">
        <f>IF(Form_Responses[[#This Row],[5. In the last month, how often have you felt that things were going well in your studies or personal life?]]="Never",4,IF(Form_Responses[[#This Row],[5. In the last month, how often have you felt that things were going well in your studies or personal life?]]="Almost never",3,IF(Form_Responses[[#This Row],[5. In the last month, how often have you felt that things were going well in your studies or personal life?]]="Sometimes",2,IF(Form_Responses[[#This Row],[5. In the last month, how often have you felt that things were going well in your studies or personal life?]]="Fairly often",1,0))))</f>
        <v>2</v>
      </c>
      <c r="BE33" s="3" t="s">
        <v>89</v>
      </c>
      <c r="BF33" s="4">
        <f>IF(Form_Responses[[#This Row],[6. In the last month, how often have you felt unable to cope with coursework, deadlines, or daily responsibilities?]]="Never",0,IF(Form_Responses[[#This Row],[6. In the last month, how often have you felt unable to cope with coursework, deadlines, or daily responsibilities?]]="Almost never",1,IF(Form_Responses[[#This Row],[6. In the last month, how often have you felt unable to cope with coursework, deadlines, or daily responsibilities?]]="Sometimes",2,IF(Form_Responses[[#This Row],[6. In the last month, how often have you felt unable to cope with coursework, deadlines, or daily responsibilities?]]="Fairly often",3,4))))</f>
        <v>2</v>
      </c>
      <c r="BG33" s="3" t="s">
        <v>89</v>
      </c>
      <c r="BH33" s="4">
        <f>IF(Form_Responses[[#This Row],[7. In the last month, how often have you been able to control irritations or frustrations in your life?]]="Never",4,IF(Form_Responses[[#This Row],[7. In the last month, how often have you been able to control irritations or frustrations in your life?]]="Almost never",3,IF(Form_Responses[[#This Row],[7. In the last month, how often have you been able to control irritations or frustrations in your life?]]="Sometimes",2,IF(Form_Responses[[#This Row],[7. In the last month, how often have you been able to control irritations or frustrations in your life?]]="Fairly often",1,0))))</f>
        <v>2</v>
      </c>
      <c r="BI33" s="3" t="s">
        <v>89</v>
      </c>
      <c r="BJ33" s="4">
        <f>IF(Form_Responses[[#This Row],[8. In the last month, how often have you felt that you were managing your academic and personal responsibilities well?]]="Never",4,IF(Form_Responses[[#This Row],[8. In the last month, how often have you felt that you were managing your academic and personal responsibilities well?]]="Almost never",3,IF(Form_Responses[[#This Row],[8. In the last month, how often have you felt that you were managing your academic and personal responsibilities well?]]="Sometimes",2,IF(Form_Responses[[#This Row],[8. In the last month, how often have you felt that you were managing your academic and personal responsibilities well?]]="Fairly often",1,0))))</f>
        <v>2</v>
      </c>
      <c r="BK33" s="3" t="s">
        <v>89</v>
      </c>
      <c r="BL33" s="5">
        <f>IF(Form_Responses[[#This Row],[9. In the last month, how often have you been angered or frustrated by situations outside your control, such as finances, academics, or relationships?]]="Never",0,IF(Form_Responses[[#This Row],[9. In the last month, how often have you been angered or frustrated by situations outside your control, such as finances, academics, or relationships?]]="Almost never",1,IF(Form_Responses[[#This Row],[9. In the last month, how often have you been angered or frustrated by situations outside your control, such as finances, academics, or relationships?]]="Sometimes",2,IF(Form_Responses[[#This Row],[9. In the last month, how often have you been angered or frustrated by situations outside your control, such as finances, academics, or relationships?]]="Fairly often",3,4))))</f>
        <v>2</v>
      </c>
      <c r="BM33" s="3" t="s">
        <v>89</v>
      </c>
      <c r="BN33" s="4">
        <f>IF(Form_Responses[[#This Row],[10. In the last month, how often have you felt that difficulties were piling up so much that you could not overcome them?]]="Never",0,IF(Form_Responses[[#This Row],[10. In the last month, how often have you felt that difficulties were piling up so much that you could not overcome them?]]="Almost never",1,IF(Form_Responses[[#This Row],[10. In the last month, how often have you felt that difficulties were piling up so much that you could not overcome them?]]="Sometimes",2,IF(Form_Responses[[#This Row],[10. In the last month, how often have you felt that difficulties were piling up so much that you could not overcome them?]]="Fairly often",3,4))))</f>
        <v>2</v>
      </c>
      <c r="BO33" s="4">
        <f>SUM(Form_Responses[[#This Row],[Score17]],Form_Responses[[#This Row],[Score18]],Form_Responses[[#This Row],[Score19]],Form_Responses[[#This Row],[Score20]],Form_Responses[[#This Row],[Score21]],Form_Responses[[#This Row],[Score22]],Form_Responses[[#This Row],[Score23]],Form_Responses[[#This Row],[Score24]],Form_Responses[[#This Row],[Score25]],Form_Responses[[#This Row],[Score26]])</f>
        <v>20</v>
      </c>
      <c r="BP33" s="4" t="str">
        <f>IF(Form_Responses[[#This Row],[Anxiety Score2]]&lt;=13,"Low stress",IF(Form_Responses[[#This Row],[Anxiety Score2]]&lt;=26,"Moderate stress","High stress"))</f>
        <v xml:space="preserve">Moderate stress</v>
      </c>
      <c r="BQ33" s="3" t="s">
        <v>91</v>
      </c>
      <c r="BR33" s="3" t="s">
        <v>91</v>
      </c>
      <c r="BS33" s="3" t="s">
        <v>268</v>
      </c>
      <c r="BT33" s="3" t="s">
        <v>108</v>
      </c>
      <c r="BU33" s="3" t="s">
        <v>76</v>
      </c>
      <c r="BV33" s="3" t="s">
        <v>269</v>
      </c>
      <c r="BW33" s="3" t="s">
        <v>270</v>
      </c>
      <c r="BX33" s="3" t="s">
        <v>271</v>
      </c>
    </row>
    <row r="34" ht="22.5" customHeight="1">
      <c r="A34" s="2">
        <v>46198.676705486112</v>
      </c>
      <c r="B34" s="3" t="s">
        <v>76</v>
      </c>
      <c r="C34" s="3" t="s">
        <v>77</v>
      </c>
      <c r="D34" s="3" t="s">
        <v>78</v>
      </c>
      <c r="E34" s="3" t="s">
        <v>79</v>
      </c>
      <c r="F34" s="3" t="s">
        <v>241</v>
      </c>
      <c r="G34" s="3" t="s">
        <v>81</v>
      </c>
      <c r="H34" s="3" t="s">
        <v>82</v>
      </c>
      <c r="I34" s="3" t="s">
        <v>83</v>
      </c>
      <c r="J34" s="3" t="s">
        <v>160</v>
      </c>
      <c r="K34" s="3" t="s">
        <v>86</v>
      </c>
      <c r="L34" s="4">
        <f>IF(K34="Not at all",0,IF(K34="Several days",1,IF(K34="More than half the days",2,3)))</f>
        <v>1</v>
      </c>
      <c r="M34" s="3" t="s">
        <v>86</v>
      </c>
      <c r="N34" s="4">
        <f>IF(M34="Not at all",0,IF(M34="Several days",1,IF(M34="More than half the days",2,3)))</f>
        <v>1</v>
      </c>
      <c r="O34" s="3" t="s">
        <v>86</v>
      </c>
      <c r="P34" s="5">
        <f>IF(O34="Not at all",0,IF(O34="Several days",1,IF(O34="More than half the days",2,3)))</f>
        <v>1</v>
      </c>
      <c r="Q34" s="3" t="s">
        <v>86</v>
      </c>
      <c r="R34" s="4">
        <f>IF(Q34="Not at all",0,IF(Q34="Several days",1,IF(Q34="More than half the days",2,3)))</f>
        <v>1</v>
      </c>
      <c r="S34" s="3" t="s">
        <v>86</v>
      </c>
      <c r="T34" s="4">
        <f>IF(S34="Not at all",0,IF(S34="Several days",1,IF(S34="More than half the days",2,3)))</f>
        <v>1</v>
      </c>
      <c r="U34" s="3" t="s">
        <v>87</v>
      </c>
      <c r="V34" s="4">
        <f>IF(U34="Not at all",0,IF(U34="Several days",1,IF(U34="More than half the days",2,3)))</f>
        <v>2</v>
      </c>
      <c r="W34" s="3" t="s">
        <v>87</v>
      </c>
      <c r="X34" s="4">
        <f>IF(W34="Not at all",0,IF(W34="Several days",1,IF(W34="More than half the days",2,3)))</f>
        <v>2</v>
      </c>
      <c r="Y34" s="3" t="s">
        <v>87</v>
      </c>
      <c r="Z34" s="4">
        <f>IF(Y34="Not at all",0,IF(Y34="Several days",1,IF(Y34="More than half the days",2,3)))</f>
        <v>2</v>
      </c>
      <c r="AA34" s="3" t="s">
        <v>104</v>
      </c>
      <c r="AB34" s="4">
        <f>IF(AA34="Not at all",0,IF(AA34="Several days",1,IF(AA34="More than half the days",2,3)))</f>
        <v>3</v>
      </c>
      <c r="AC34" s="4">
        <f>SUM(Form_Responses[[#This Row],[Score]],Form_Responses[[#This Row],[Score2]],Form_Responses[[#This Row],[Score3]],Form_Responses[[#This Row],[Score4]],Form_Responses[[#This Row],[Score5]],Form_Responses[[#This Row],[Score6]],Form_Responses[[#This Row],[Score7]],Form_Responses[[#This Row],[Score8]],Form_Responses[[#This Row],[Score9]])</f>
        <v>14</v>
      </c>
      <c r="AD34" s="4" t="str">
        <f>IF(Form_Responses[[#This Row],[Depression Score ]]&lt;=4,"Minimal symptoms",IF(Form_Responses[[#This Row],[Depression Score ]]&lt;=9,"Mild Depression",IF(Form_Responses[[#This Row],[Depression Score ]]&lt;=14,"Moderate depression",IF(Form_Responses[[#This Row],[Depression Score ]]&lt;=19,"Moderately severe depression","Severe depression"))))</f>
        <v xml:space="preserve">Moderate depression</v>
      </c>
      <c r="AE34" s="3" t="s">
        <v>86</v>
      </c>
      <c r="AF34" s="4">
        <f>IF(AE34="Not at all",0,IF(AE34="Several days",1,IF(AE34="More than half the days",2,3)))</f>
        <v>1</v>
      </c>
      <c r="AG34" s="3" t="s">
        <v>86</v>
      </c>
      <c r="AH34" s="4">
        <f>IF(AG34="Not at all",0,IF(AG34="Several days",1,IF(AG34="More than half the days",2,3)))</f>
        <v>1</v>
      </c>
      <c r="AI34" s="3" t="s">
        <v>86</v>
      </c>
      <c r="AJ34" s="4">
        <f>IF(AI34="Not at all",0,IF(AI34="Several days",1,IF(AI34="More than half the days",2,3)))</f>
        <v>1</v>
      </c>
      <c r="AK34" s="3" t="s">
        <v>86</v>
      </c>
      <c r="AL34" s="4">
        <f>IF(AK34="Not at all",0,IF(AK34="Several days",1,IF(AK34="More than half the days",2,3)))</f>
        <v>1</v>
      </c>
      <c r="AM34" s="3" t="s">
        <v>86</v>
      </c>
      <c r="AN34" s="4">
        <f>IF(AM34="Not at all",0,IF(AM34="Several days",1,IF(AM34="More than half the days",2,3)))</f>
        <v>1</v>
      </c>
      <c r="AO34" s="3" t="s">
        <v>87</v>
      </c>
      <c r="AP34" s="4">
        <f>IF(AO34="Not at all",0,IF(AO34="Several days",1,IF(AO34="More than half the days",2,3)))</f>
        <v>2</v>
      </c>
      <c r="AQ34" s="3" t="s">
        <v>87</v>
      </c>
      <c r="AR34" s="4">
        <f>IF(AQ34="Not at all",0,IF(AQ34="Several days",1,IF(AQ34="More than half the days",2,3)))</f>
        <v>2</v>
      </c>
      <c r="AS34" s="4">
        <f>SUM(Form_Responses[[#This Row],[Score16]],Form_Responses[[#This Row],[Score10]],Form_Responses[[#This Row],[Score11]],Form_Responses[[#This Row],[Score12]],Form_Responses[[#This Row],[Score13]],Form_Responses[[#This Row],[Score14]],Form_Responses[[#This Row],[Score15]])</f>
        <v>9</v>
      </c>
      <c r="AT34" s="4" t="str">
        <f>IF(Form_Responses[[#This Row],[Anxiety Score]]&lt;=4,"Minimal anxiety",IF(Form_Responses[[#This Row],[Anxiety Score]]&lt;=9,"Mild anxiety",IF(Form_Responses[[#This Row],[Anxiety Score]]&lt;=14,"Moderate anxiety","Severe anxiety")))</f>
        <v xml:space="preserve">Mild anxiety</v>
      </c>
      <c r="AU34" s="3" t="s">
        <v>90</v>
      </c>
      <c r="AV34" s="4">
        <f>IF(Form_Responses[[#This Row],[1. In the last month, how often have you been upset because of unexpected situations related to academics, finances, or personal life?]]="Never",0,IF(Form_Responses[[#This Row],[1. In the last month, how often have you been upset because of unexpected situations related to academics, finances, or personal life?]]="Almost never",1,IF(Form_Responses[[#This Row],[1. In the last month, how often have you been upset because of unexpected situations related to academics, finances, or personal life?]]="Sometimes",2,IF(Form_Responses[[#This Row],[1. In the last month, how often have you been upset because of unexpected situations related to academics, finances, or personal life?]]="Fairly often",3,4))))</f>
        <v>1</v>
      </c>
      <c r="AW34" s="3" t="s">
        <v>89</v>
      </c>
      <c r="AX34" s="5">
        <f>IF(Form_Responses[[#This Row],[2. In the last month, how often have you felt unable to control important things in your academic or personal life?]]="Never",0,IF(Form_Responses[[#This Row],[2. In the last month, how often have you felt unable to control important things in your academic or personal life?]]="Almost never",1,IF(Form_Responses[[#This Row],[2. In the last month, how often have you felt unable to control important things in your academic or personal life?]]="Sometimes",2,IF(Form_Responses[[#This Row],[2. In the last month, how often have you felt unable to control important things in your academic or personal life?]]="Fairly often",3,4))))</f>
        <v>2</v>
      </c>
      <c r="AY34" s="3" t="s">
        <v>89</v>
      </c>
      <c r="AZ34" s="4">
        <f>IF(Form_Responses[[#This Row],[3. In the last month, how often have you felt nervous or stressed because of university responsibilities or personal challenges?]]="Never",0,IF(Form_Responses[[#This Row],[3. In the last month, how often have you felt nervous or stressed because of university responsibilities or personal challenges?]]="Almost never",1,IF(Form_Responses[[#This Row],[3. In the last month, how often have you felt nervous or stressed because of university responsibilities or personal challenges?]]="Sometimes",2,IF(Form_Responses[[#This Row],[3. In the last month, how often have you felt nervous or stressed because of university responsibilities or personal challenges?]]="Fairly often",3,4))))</f>
        <v>2</v>
      </c>
      <c r="BA34" s="3" t="s">
        <v>89</v>
      </c>
      <c r="BB34" s="4">
        <f>IF(Form_Responses[[#This Row],[4. In the last month, how often have you felt confident about your ability to handle academic or personal problems?]]="Never",4,IF(Form_Responses[[#This Row],[4. In the last month, how often have you felt confident about your ability to handle academic or personal problems?]]="Almost never",3,IF(Form_Responses[[#This Row],[4. In the last month, how often have you felt confident about your ability to handle academic or personal problems?]]="Sometimes",2,IF(Form_Responses[[#This Row],[4. In the last month, how often have you felt confident about your ability to handle academic or personal problems?]]="Fairly often",1,0))))</f>
        <v>2</v>
      </c>
      <c r="BC34" s="3" t="s">
        <v>105</v>
      </c>
      <c r="BD34" s="4">
        <f>IF(Form_Responses[[#This Row],[5. In the last month, how often have you felt that things were going well in your studies or personal life?]]="Never",4,IF(Form_Responses[[#This Row],[5. In the last month, how often have you felt that things were going well in your studies or personal life?]]="Almost never",3,IF(Form_Responses[[#This Row],[5. In the last month, how often have you felt that things were going well in your studies or personal life?]]="Sometimes",2,IF(Form_Responses[[#This Row],[5. In the last month, how often have you felt that things were going well in your studies or personal life?]]="Fairly often",1,0))))</f>
        <v>0</v>
      </c>
      <c r="BE34" s="3" t="s">
        <v>88</v>
      </c>
      <c r="BF34" s="4">
        <f>IF(Form_Responses[[#This Row],[6. In the last month, how often have you felt unable to cope with coursework, deadlines, or daily responsibilities?]]="Never",0,IF(Form_Responses[[#This Row],[6. In the last month, how often have you felt unable to cope with coursework, deadlines, or daily responsibilities?]]="Almost never",1,IF(Form_Responses[[#This Row],[6. In the last month, how often have you felt unable to cope with coursework, deadlines, or daily responsibilities?]]="Sometimes",2,IF(Form_Responses[[#This Row],[6. In the last month, how often have you felt unable to cope with coursework, deadlines, or daily responsibilities?]]="Fairly often",3,4))))</f>
        <v>3</v>
      </c>
      <c r="BG34" s="3" t="s">
        <v>88</v>
      </c>
      <c r="BH34" s="4">
        <f>IF(Form_Responses[[#This Row],[7. In the last month, how often have you been able to control irritations or frustrations in your life?]]="Never",4,IF(Form_Responses[[#This Row],[7. In the last month, how often have you been able to control irritations or frustrations in your life?]]="Almost never",3,IF(Form_Responses[[#This Row],[7. In the last month, how often have you been able to control irritations or frustrations in your life?]]="Sometimes",2,IF(Form_Responses[[#This Row],[7. In the last month, how often have you been able to control irritations or frustrations in your life?]]="Fairly often",1,0))))</f>
        <v>1</v>
      </c>
      <c r="BI34" s="3" t="s">
        <v>89</v>
      </c>
      <c r="BJ34" s="4">
        <f>IF(Form_Responses[[#This Row],[8. In the last month, how often have you felt that you were managing your academic and personal responsibilities well?]]="Never",4,IF(Form_Responses[[#This Row],[8. In the last month, how often have you felt that you were managing your academic and personal responsibilities well?]]="Almost never",3,IF(Form_Responses[[#This Row],[8. In the last month, how often have you felt that you were managing your academic and personal responsibilities well?]]="Sometimes",2,IF(Form_Responses[[#This Row],[8. In the last month, how often have you felt that you were managing your academic and personal responsibilities well?]]="Fairly often",1,0))))</f>
        <v>2</v>
      </c>
      <c r="BK34" s="3" t="s">
        <v>89</v>
      </c>
      <c r="BL34" s="5">
        <f>IF(Form_Responses[[#This Row],[9. In the last month, how often have you been angered or frustrated by situations outside your control, such as finances, academics, or relationships?]]="Never",0,IF(Form_Responses[[#This Row],[9. In the last month, how often have you been angered or frustrated by situations outside your control, such as finances, academics, or relationships?]]="Almost never",1,IF(Form_Responses[[#This Row],[9. In the last month, how often have you been angered or frustrated by situations outside your control, such as finances, academics, or relationships?]]="Sometimes",2,IF(Form_Responses[[#This Row],[9. In the last month, how often have you been angered or frustrated by situations outside your control, such as finances, academics, or relationships?]]="Fairly often",3,4))))</f>
        <v>2</v>
      </c>
      <c r="BM34" s="3" t="s">
        <v>88</v>
      </c>
      <c r="BN34" s="4">
        <f>IF(Form_Responses[[#This Row],[10. In the last month, how often have you felt that difficulties were piling up so much that you could not overcome them?]]="Never",0,IF(Form_Responses[[#This Row],[10. In the last month, how often have you felt that difficulties were piling up so much that you could not overcome them?]]="Almost never",1,IF(Form_Responses[[#This Row],[10. In the last month, how often have you felt that difficulties were piling up so much that you could not overcome them?]]="Sometimes",2,IF(Form_Responses[[#This Row],[10. In the last month, how often have you felt that difficulties were piling up so much that you could not overcome them?]]="Fairly often",3,4))))</f>
        <v>3</v>
      </c>
      <c r="BO34" s="4">
        <f>SUM(Form_Responses[[#This Row],[Score17]],Form_Responses[[#This Row],[Score18]],Form_Responses[[#This Row],[Score19]],Form_Responses[[#This Row],[Score20]],Form_Responses[[#This Row],[Score21]],Form_Responses[[#This Row],[Score22]],Form_Responses[[#This Row],[Score23]],Form_Responses[[#This Row],[Score24]],Form_Responses[[#This Row],[Score25]],Form_Responses[[#This Row],[Score26]])</f>
        <v>18</v>
      </c>
      <c r="BP34" s="4" t="str">
        <f>IF(Form_Responses[[#This Row],[Anxiety Score2]]&lt;=13,"Low stress",IF(Form_Responses[[#This Row],[Anxiety Score2]]&lt;=26,"Moderate stress","High stress"))</f>
        <v xml:space="preserve">Moderate stress</v>
      </c>
      <c r="BQ34" s="3" t="s">
        <v>76</v>
      </c>
      <c r="BR34" s="3" t="s">
        <v>76</v>
      </c>
      <c r="BS34" s="3" t="s">
        <v>272</v>
      </c>
      <c r="BT34" s="3" t="s">
        <v>273</v>
      </c>
      <c r="BU34" s="3" t="s">
        <v>76</v>
      </c>
      <c r="BV34" s="3" t="s">
        <v>180</v>
      </c>
      <c r="BW34" s="3" t="s">
        <v>274</v>
      </c>
      <c r="BX34" s="3" t="s">
        <v>275</v>
      </c>
    </row>
    <row r="35" ht="22.5" customHeight="1">
      <c r="A35" s="2">
        <v>46198.68943189815</v>
      </c>
      <c r="B35" s="3" t="s">
        <v>76</v>
      </c>
      <c r="C35" s="3" t="s">
        <v>77</v>
      </c>
      <c r="D35" s="3" t="s">
        <v>112</v>
      </c>
      <c r="E35" s="3" t="s">
        <v>79</v>
      </c>
      <c r="F35" s="3" t="s">
        <v>251</v>
      </c>
      <c r="G35" s="3" t="s">
        <v>81</v>
      </c>
      <c r="H35" s="3" t="s">
        <v>101</v>
      </c>
      <c r="I35" s="3" t="s">
        <v>83</v>
      </c>
      <c r="J35" s="3" t="s">
        <v>84</v>
      </c>
      <c r="K35" s="3" t="s">
        <v>86</v>
      </c>
      <c r="L35" s="4">
        <f>IF(K35="Not at all",0,IF(K35="Several days",1,IF(K35="More than half the days",2,3)))</f>
        <v>1</v>
      </c>
      <c r="M35" s="3" t="s">
        <v>86</v>
      </c>
      <c r="N35" s="4">
        <f>IF(M35="Not at all",0,IF(M35="Several days",1,IF(M35="More than half the days",2,3)))</f>
        <v>1</v>
      </c>
      <c r="O35" s="3" t="s">
        <v>85</v>
      </c>
      <c r="P35" s="5">
        <f>IF(O35="Not at all",0,IF(O35="Several days",1,IF(O35="More than half the days",2,3)))</f>
        <v>0</v>
      </c>
      <c r="Q35" s="3" t="s">
        <v>85</v>
      </c>
      <c r="R35" s="4">
        <f>IF(Q35="Not at all",0,IF(Q35="Several days",1,IF(Q35="More than half the days",2,3)))</f>
        <v>0</v>
      </c>
      <c r="S35" s="3" t="s">
        <v>86</v>
      </c>
      <c r="T35" s="4">
        <f>IF(S35="Not at all",0,IF(S35="Several days",1,IF(S35="More than half the days",2,3)))</f>
        <v>1</v>
      </c>
      <c r="U35" s="3" t="s">
        <v>85</v>
      </c>
      <c r="V35" s="4">
        <f>IF(U35="Not at all",0,IF(U35="Several days",1,IF(U35="More than half the days",2,3)))</f>
        <v>0</v>
      </c>
      <c r="W35" s="3" t="s">
        <v>85</v>
      </c>
      <c r="X35" s="4">
        <f>IF(W35="Not at all",0,IF(W35="Several days",1,IF(W35="More than half the days",2,3)))</f>
        <v>0</v>
      </c>
      <c r="Y35" s="3" t="s">
        <v>85</v>
      </c>
      <c r="Z35" s="4">
        <f>IF(Y35="Not at all",0,IF(Y35="Several days",1,IF(Y35="More than half the days",2,3)))</f>
        <v>0</v>
      </c>
      <c r="AA35" s="3" t="s">
        <v>85</v>
      </c>
      <c r="AB35" s="4">
        <f>IF(AA35="Not at all",0,IF(AA35="Several days",1,IF(AA35="More than half the days",2,3)))</f>
        <v>0</v>
      </c>
      <c r="AC35" s="4">
        <f>SUM(Form_Responses[[#This Row],[Score]],Form_Responses[[#This Row],[Score2]],Form_Responses[[#This Row],[Score3]],Form_Responses[[#This Row],[Score4]],Form_Responses[[#This Row],[Score5]],Form_Responses[[#This Row],[Score6]],Form_Responses[[#This Row],[Score7]],Form_Responses[[#This Row],[Score8]],Form_Responses[[#This Row],[Score9]])</f>
        <v>3</v>
      </c>
      <c r="AD35" s="4" t="str">
        <f>IF(Form_Responses[[#This Row],[Depression Score ]]&lt;=4,"Minimal symptoms",IF(Form_Responses[[#This Row],[Depression Score ]]&lt;=9,"Mild Depression",IF(Form_Responses[[#This Row],[Depression Score ]]&lt;=14,"Moderate depression",IF(Form_Responses[[#This Row],[Depression Score ]]&lt;=19,"Moderately severe depression","Severe depression"))))</f>
        <v xml:space="preserve">Minimal symptoms</v>
      </c>
      <c r="AE35" s="3" t="s">
        <v>86</v>
      </c>
      <c r="AF35" s="4">
        <f>IF(AE35="Not at all",0,IF(AE35="Several days",1,IF(AE35="More than half the days",2,3)))</f>
        <v>1</v>
      </c>
      <c r="AG35" s="3" t="s">
        <v>104</v>
      </c>
      <c r="AH35" s="4">
        <f>IF(AG35="Not at all",0,IF(AG35="Several days",1,IF(AG35="More than half the days",2,3)))</f>
        <v>3</v>
      </c>
      <c r="AI35" s="3" t="s">
        <v>104</v>
      </c>
      <c r="AJ35" s="4">
        <f>IF(AI35="Not at all",0,IF(AI35="Several days",1,IF(AI35="More than half the days",2,3)))</f>
        <v>3</v>
      </c>
      <c r="AK35" s="3" t="s">
        <v>86</v>
      </c>
      <c r="AL35" s="4">
        <f>IF(AK35="Not at all",0,IF(AK35="Several days",1,IF(AK35="More than half the days",2,3)))</f>
        <v>1</v>
      </c>
      <c r="AM35" s="3" t="s">
        <v>86</v>
      </c>
      <c r="AN35" s="4">
        <f>IF(AM35="Not at all",0,IF(AM35="Several days",1,IF(AM35="More than half the days",2,3)))</f>
        <v>1</v>
      </c>
      <c r="AO35" s="3" t="s">
        <v>86</v>
      </c>
      <c r="AP35" s="4">
        <f>IF(AO35="Not at all",0,IF(AO35="Several days",1,IF(AO35="More than half the days",2,3)))</f>
        <v>1</v>
      </c>
      <c r="AQ35" s="3" t="s">
        <v>86</v>
      </c>
      <c r="AR35" s="4">
        <f>IF(AQ35="Not at all",0,IF(AQ35="Several days",1,IF(AQ35="More than half the days",2,3)))</f>
        <v>1</v>
      </c>
      <c r="AS35" s="4">
        <f>SUM(Form_Responses[[#This Row],[Score16]],Form_Responses[[#This Row],[Score10]],Form_Responses[[#This Row],[Score11]],Form_Responses[[#This Row],[Score12]],Form_Responses[[#This Row],[Score13]],Form_Responses[[#This Row],[Score14]],Form_Responses[[#This Row],[Score15]])</f>
        <v>11</v>
      </c>
      <c r="AT35" s="4" t="str">
        <f>IF(Form_Responses[[#This Row],[Anxiety Score]]&lt;=4,"Minimal anxiety",IF(Form_Responses[[#This Row],[Anxiety Score]]&lt;=9,"Mild anxiety",IF(Form_Responses[[#This Row],[Anxiety Score]]&lt;=14,"Moderate anxiety","Severe anxiety")))</f>
        <v xml:space="preserve">Moderate anxiety</v>
      </c>
      <c r="AU35" s="3" t="s">
        <v>105</v>
      </c>
      <c r="AV35" s="4">
        <f>IF(Form_Responses[[#This Row],[1. In the last month, how often have you been upset because of unexpected situations related to academics, finances, or personal life?]]="Never",0,IF(Form_Responses[[#This Row],[1. In the last month, how often have you been upset because of unexpected situations related to academics, finances, or personal life?]]="Almost never",1,IF(Form_Responses[[#This Row],[1. In the last month, how often have you been upset because of unexpected situations related to academics, finances, or personal life?]]="Sometimes",2,IF(Form_Responses[[#This Row],[1. In the last month, how often have you been upset because of unexpected situations related to academics, finances, or personal life?]]="Fairly often",3,4))))</f>
        <v>4</v>
      </c>
      <c r="AW35" s="3" t="s">
        <v>89</v>
      </c>
      <c r="AX35" s="5">
        <f>IF(Form_Responses[[#This Row],[2. In the last month, how often have you felt unable to control important things in your academic or personal life?]]="Never",0,IF(Form_Responses[[#This Row],[2. In the last month, how often have you felt unable to control important things in your academic or personal life?]]="Almost never",1,IF(Form_Responses[[#This Row],[2. In the last month, how often have you felt unable to control important things in your academic or personal life?]]="Sometimes",2,IF(Form_Responses[[#This Row],[2. In the last month, how often have you felt unable to control important things in your academic or personal life?]]="Fairly often",3,4))))</f>
        <v>2</v>
      </c>
      <c r="AY35" s="3" t="s">
        <v>89</v>
      </c>
      <c r="AZ35" s="4">
        <f>IF(Form_Responses[[#This Row],[3. In the last month, how often have you felt nervous or stressed because of university responsibilities or personal challenges?]]="Never",0,IF(Form_Responses[[#This Row],[3. In the last month, how often have you felt nervous or stressed because of university responsibilities or personal challenges?]]="Almost never",1,IF(Form_Responses[[#This Row],[3. In the last month, how often have you felt nervous or stressed because of university responsibilities or personal challenges?]]="Sometimes",2,IF(Form_Responses[[#This Row],[3. In the last month, how often have you felt nervous or stressed because of university responsibilities or personal challenges?]]="Fairly often",3,4))))</f>
        <v>2</v>
      </c>
      <c r="BA35" s="3" t="s">
        <v>89</v>
      </c>
      <c r="BB35" s="4">
        <f>IF(Form_Responses[[#This Row],[4. In the last month, how often have you felt confident about your ability to handle academic or personal problems?]]="Never",4,IF(Form_Responses[[#This Row],[4. In the last month, how often have you felt confident about your ability to handle academic or personal problems?]]="Almost never",3,IF(Form_Responses[[#This Row],[4. In the last month, how often have you felt confident about your ability to handle academic or personal problems?]]="Sometimes",2,IF(Form_Responses[[#This Row],[4. In the last month, how often have you felt confident about your ability to handle academic or personal problems?]]="Fairly often",1,0))))</f>
        <v>2</v>
      </c>
      <c r="BC35" s="3" t="s">
        <v>89</v>
      </c>
      <c r="BD35" s="4">
        <f>IF(Form_Responses[[#This Row],[5. In the last month, how often have you felt that things were going well in your studies or personal life?]]="Never",4,IF(Form_Responses[[#This Row],[5. In the last month, how often have you felt that things were going well in your studies or personal life?]]="Almost never",3,IF(Form_Responses[[#This Row],[5. In the last month, how often have you felt that things were going well in your studies or personal life?]]="Sometimes",2,IF(Form_Responses[[#This Row],[5. In the last month, how often have you felt that things were going well in your studies or personal life?]]="Fairly often",1,0))))</f>
        <v>2</v>
      </c>
      <c r="BE35" s="3" t="s">
        <v>89</v>
      </c>
      <c r="BF35" s="4">
        <f>IF(Form_Responses[[#This Row],[6. In the last month, how often have you felt unable to cope with coursework, deadlines, or daily responsibilities?]]="Never",0,IF(Form_Responses[[#This Row],[6. In the last month, how often have you felt unable to cope with coursework, deadlines, or daily responsibilities?]]="Almost never",1,IF(Form_Responses[[#This Row],[6. In the last month, how often have you felt unable to cope with coursework, deadlines, or daily responsibilities?]]="Sometimes",2,IF(Form_Responses[[#This Row],[6. In the last month, how often have you felt unable to cope with coursework, deadlines, or daily responsibilities?]]="Fairly often",3,4))))</f>
        <v>2</v>
      </c>
      <c r="BG35" s="3" t="s">
        <v>89</v>
      </c>
      <c r="BH35" s="4">
        <f>IF(Form_Responses[[#This Row],[7. In the last month, how often have you been able to control irritations or frustrations in your life?]]="Never",4,IF(Form_Responses[[#This Row],[7. In the last month, how often have you been able to control irritations or frustrations in your life?]]="Almost never",3,IF(Form_Responses[[#This Row],[7. In the last month, how often have you been able to control irritations or frustrations in your life?]]="Sometimes",2,IF(Form_Responses[[#This Row],[7. In the last month, how often have you been able to control irritations or frustrations in your life?]]="Fairly often",1,0))))</f>
        <v>2</v>
      </c>
      <c r="BI35" s="3" t="s">
        <v>88</v>
      </c>
      <c r="BJ35" s="4">
        <f>IF(Form_Responses[[#This Row],[8. In the last month, how often have you felt that you were managing your academic and personal responsibilities well?]]="Never",4,IF(Form_Responses[[#This Row],[8. In the last month, how often have you felt that you were managing your academic and personal responsibilities well?]]="Almost never",3,IF(Form_Responses[[#This Row],[8. In the last month, how often have you felt that you were managing your academic and personal responsibilities well?]]="Sometimes",2,IF(Form_Responses[[#This Row],[8. In the last month, how often have you felt that you were managing your academic and personal responsibilities well?]]="Fairly often",1,0))))</f>
        <v>1</v>
      </c>
      <c r="BK35" s="3" t="s">
        <v>88</v>
      </c>
      <c r="BL35" s="5">
        <f>IF(Form_Responses[[#This Row],[9. In the last month, how often have you been angered or frustrated by situations outside your control, such as finances, academics, or relationships?]]="Never",0,IF(Form_Responses[[#This Row],[9. In the last month, how often have you been angered or frustrated by situations outside your control, such as finances, academics, or relationships?]]="Almost never",1,IF(Form_Responses[[#This Row],[9. In the last month, how often have you been angered or frustrated by situations outside your control, such as finances, academics, or relationships?]]="Sometimes",2,IF(Form_Responses[[#This Row],[9. In the last month, how often have you been angered or frustrated by situations outside your control, such as finances, academics, or relationships?]]="Fairly often",3,4))))</f>
        <v>3</v>
      </c>
      <c r="BM35" s="3" t="s">
        <v>105</v>
      </c>
      <c r="BN35" s="4">
        <f>IF(Form_Responses[[#This Row],[10. In the last month, how often have you felt that difficulties were piling up so much that you could not overcome them?]]="Never",0,IF(Form_Responses[[#This Row],[10. In the last month, how often have you felt that difficulties were piling up so much that you could not overcome them?]]="Almost never",1,IF(Form_Responses[[#This Row],[10. In the last month, how often have you felt that difficulties were piling up so much that you could not overcome them?]]="Sometimes",2,IF(Form_Responses[[#This Row],[10. In the last month, how often have you felt that difficulties were piling up so much that you could not overcome them?]]="Fairly often",3,4))))</f>
        <v>4</v>
      </c>
      <c r="BO35" s="4">
        <f>SUM(Form_Responses[[#This Row],[Score17]],Form_Responses[[#This Row],[Score18]],Form_Responses[[#This Row],[Score19]],Form_Responses[[#This Row],[Score20]],Form_Responses[[#This Row],[Score21]],Form_Responses[[#This Row],[Score22]],Form_Responses[[#This Row],[Score23]],Form_Responses[[#This Row],[Score24]],Form_Responses[[#This Row],[Score25]],Form_Responses[[#This Row],[Score26]])</f>
        <v>24</v>
      </c>
      <c r="BP35" s="4" t="str">
        <f>IF(Form_Responses[[#This Row],[Anxiety Score2]]&lt;=13,"Low stress",IF(Form_Responses[[#This Row],[Anxiety Score2]]&lt;=26,"Moderate stress","High stress"))</f>
        <v xml:space="preserve">Moderate stress</v>
      </c>
      <c r="BQ35" s="3" t="s">
        <v>91</v>
      </c>
      <c r="BR35" s="3" t="s">
        <v>91</v>
      </c>
      <c r="BS35" s="3" t="s">
        <v>276</v>
      </c>
      <c r="BT35" s="3" t="s">
        <v>162</v>
      </c>
      <c r="BU35" s="3" t="s">
        <v>91</v>
      </c>
      <c r="BV35" s="3" t="s">
        <v>277</v>
      </c>
      <c r="BW35" s="3" t="s">
        <v>278</v>
      </c>
      <c r="BX35" s="3" t="s">
        <v>279</v>
      </c>
    </row>
    <row r="36" ht="22.5" customHeight="1">
      <c r="A36" s="2">
        <v>46198.690053321756</v>
      </c>
      <c r="B36" s="3" t="s">
        <v>76</v>
      </c>
      <c r="C36" s="3" t="s">
        <v>154</v>
      </c>
      <c r="D36" s="3" t="s">
        <v>112</v>
      </c>
      <c r="E36" s="3" t="s">
        <v>79</v>
      </c>
      <c r="F36" s="3" t="s">
        <v>280</v>
      </c>
      <c r="G36" s="3" t="s">
        <v>81</v>
      </c>
      <c r="H36" s="3" t="s">
        <v>82</v>
      </c>
      <c r="I36" s="3" t="s">
        <v>83</v>
      </c>
      <c r="J36" s="3" t="s">
        <v>84</v>
      </c>
      <c r="K36" s="3" t="s">
        <v>86</v>
      </c>
      <c r="L36" s="4">
        <f>IF(K36="Not at all",0,IF(K36="Several days",1,IF(K36="More than half the days",2,3)))</f>
        <v>1</v>
      </c>
      <c r="M36" s="3" t="s">
        <v>86</v>
      </c>
      <c r="N36" s="4">
        <f>IF(M36="Not at all",0,IF(M36="Several days",1,IF(M36="More than half the days",2,3)))</f>
        <v>1</v>
      </c>
      <c r="O36" s="3" t="s">
        <v>104</v>
      </c>
      <c r="P36" s="5">
        <f>IF(O36="Not at all",0,IF(O36="Several days",1,IF(O36="More than half the days",2,3)))</f>
        <v>3</v>
      </c>
      <c r="Q36" s="3" t="s">
        <v>86</v>
      </c>
      <c r="R36" s="4">
        <f>IF(Q36="Not at all",0,IF(Q36="Several days",1,IF(Q36="More than half the days",2,3)))</f>
        <v>1</v>
      </c>
      <c r="S36" s="3" t="s">
        <v>85</v>
      </c>
      <c r="T36" s="4">
        <f>IF(S36="Not at all",0,IF(S36="Several days",1,IF(S36="More than half the days",2,3)))</f>
        <v>0</v>
      </c>
      <c r="U36" s="3" t="s">
        <v>86</v>
      </c>
      <c r="V36" s="4">
        <f>IF(U36="Not at all",0,IF(U36="Several days",1,IF(U36="More than half the days",2,3)))</f>
        <v>1</v>
      </c>
      <c r="W36" s="3" t="s">
        <v>86</v>
      </c>
      <c r="X36" s="4">
        <f>IF(W36="Not at all",0,IF(W36="Several days",1,IF(W36="More than half the days",2,3)))</f>
        <v>1</v>
      </c>
      <c r="Y36" s="3" t="s">
        <v>85</v>
      </c>
      <c r="Z36" s="4">
        <f>IF(Y36="Not at all",0,IF(Y36="Several days",1,IF(Y36="More than half the days",2,3)))</f>
        <v>0</v>
      </c>
      <c r="AA36" s="3" t="s">
        <v>85</v>
      </c>
      <c r="AB36" s="4">
        <f>IF(AA36="Not at all",0,IF(AA36="Several days",1,IF(AA36="More than half the days",2,3)))</f>
        <v>0</v>
      </c>
      <c r="AC36" s="4">
        <f>SUM(Form_Responses[[#This Row],[Score]],Form_Responses[[#This Row],[Score2]],Form_Responses[[#This Row],[Score3]],Form_Responses[[#This Row],[Score4]],Form_Responses[[#This Row],[Score5]],Form_Responses[[#This Row],[Score6]],Form_Responses[[#This Row],[Score7]],Form_Responses[[#This Row],[Score8]],Form_Responses[[#This Row],[Score9]])</f>
        <v>8</v>
      </c>
      <c r="AD36" s="4" t="str">
        <f>IF(Form_Responses[[#This Row],[Depression Score ]]&lt;=4,"Minimal symptoms",IF(Form_Responses[[#This Row],[Depression Score ]]&lt;=9,"Mild Depression",IF(Form_Responses[[#This Row],[Depression Score ]]&lt;=14,"Moderate depression",IF(Form_Responses[[#This Row],[Depression Score ]]&lt;=19,"Moderately severe depression","Severe depression"))))</f>
        <v xml:space="preserve">Mild Depression</v>
      </c>
      <c r="AE36" s="3" t="s">
        <v>86</v>
      </c>
      <c r="AF36" s="4">
        <f>IF(AE36="Not at all",0,IF(AE36="Several days",1,IF(AE36="More than half the days",2,3)))</f>
        <v>1</v>
      </c>
      <c r="AG36" s="3" t="s">
        <v>85</v>
      </c>
      <c r="AH36" s="4">
        <f>IF(AG36="Not at all",0,IF(AG36="Several days",1,IF(AG36="More than half the days",2,3)))</f>
        <v>0</v>
      </c>
      <c r="AI36" s="3" t="s">
        <v>85</v>
      </c>
      <c r="AJ36" s="4">
        <f>IF(AI36="Not at all",0,IF(AI36="Several days",1,IF(AI36="More than half the days",2,3)))</f>
        <v>0</v>
      </c>
      <c r="AK36" s="3" t="s">
        <v>86</v>
      </c>
      <c r="AL36" s="4">
        <f>IF(AK36="Not at all",0,IF(AK36="Several days",1,IF(AK36="More than half the days",2,3)))</f>
        <v>1</v>
      </c>
      <c r="AM36" s="3" t="s">
        <v>104</v>
      </c>
      <c r="AN36" s="4">
        <f>IF(AM36="Not at all",0,IF(AM36="Several days",1,IF(AM36="More than half the days",2,3)))</f>
        <v>3</v>
      </c>
      <c r="AO36" s="3" t="s">
        <v>86</v>
      </c>
      <c r="AP36" s="4">
        <f>IF(AO36="Not at all",0,IF(AO36="Several days",1,IF(AO36="More than half the days",2,3)))</f>
        <v>1</v>
      </c>
      <c r="AQ36" s="3" t="s">
        <v>85</v>
      </c>
      <c r="AR36" s="4">
        <f>IF(AQ36="Not at all",0,IF(AQ36="Several days",1,IF(AQ36="More than half the days",2,3)))</f>
        <v>0</v>
      </c>
      <c r="AS36" s="4">
        <f>SUM(Form_Responses[[#This Row],[Score16]],Form_Responses[[#This Row],[Score10]],Form_Responses[[#This Row],[Score11]],Form_Responses[[#This Row],[Score12]],Form_Responses[[#This Row],[Score13]],Form_Responses[[#This Row],[Score14]],Form_Responses[[#This Row],[Score15]])</f>
        <v>6</v>
      </c>
      <c r="AT36" s="4" t="str">
        <f>IF(Form_Responses[[#This Row],[Anxiety Score]]&lt;=4,"Minimal anxiety",IF(Form_Responses[[#This Row],[Anxiety Score]]&lt;=9,"Mild anxiety",IF(Form_Responses[[#This Row],[Anxiety Score]]&lt;=14,"Moderate anxiety","Severe anxiety")))</f>
        <v xml:space="preserve">Mild anxiety</v>
      </c>
      <c r="AU36" s="3" t="s">
        <v>88</v>
      </c>
      <c r="AV36" s="4">
        <f>IF(Form_Responses[[#This Row],[1. In the last month, how often have you been upset because of unexpected situations related to academics, finances, or personal life?]]="Never",0,IF(Form_Responses[[#This Row],[1. In the last month, how often have you been upset because of unexpected situations related to academics, finances, or personal life?]]="Almost never",1,IF(Form_Responses[[#This Row],[1. In the last month, how often have you been upset because of unexpected situations related to academics, finances, or personal life?]]="Sometimes",2,IF(Form_Responses[[#This Row],[1. In the last month, how often have you been upset because of unexpected situations related to academics, finances, or personal life?]]="Fairly often",3,4))))</f>
        <v>3</v>
      </c>
      <c r="AW36" s="3" t="s">
        <v>89</v>
      </c>
      <c r="AX36" s="5">
        <f>IF(Form_Responses[[#This Row],[2. In the last month, how often have you felt unable to control important things in your academic or personal life?]]="Never",0,IF(Form_Responses[[#This Row],[2. In the last month, how often have you felt unable to control important things in your academic or personal life?]]="Almost never",1,IF(Form_Responses[[#This Row],[2. In the last month, how often have you felt unable to control important things in your academic or personal life?]]="Sometimes",2,IF(Form_Responses[[#This Row],[2. In the last month, how often have you felt unable to control important things in your academic or personal life?]]="Fairly often",3,4))))</f>
        <v>2</v>
      </c>
      <c r="AY36" s="3" t="s">
        <v>89</v>
      </c>
      <c r="AZ36" s="4">
        <f>IF(Form_Responses[[#This Row],[3. In the last month, how often have you felt nervous or stressed because of university responsibilities or personal challenges?]]="Never",0,IF(Form_Responses[[#This Row],[3. In the last month, how often have you felt nervous or stressed because of university responsibilities or personal challenges?]]="Almost never",1,IF(Form_Responses[[#This Row],[3. In the last month, how often have you felt nervous or stressed because of university responsibilities or personal challenges?]]="Sometimes",2,IF(Form_Responses[[#This Row],[3. In the last month, how often have you felt nervous or stressed because of university responsibilities or personal challenges?]]="Fairly often",3,4))))</f>
        <v>2</v>
      </c>
      <c r="BA36" s="3" t="s">
        <v>105</v>
      </c>
      <c r="BB36" s="4">
        <f>IF(Form_Responses[[#This Row],[4. In the last month, how often have you felt confident about your ability to handle academic or personal problems?]]="Never",4,IF(Form_Responses[[#This Row],[4. In the last month, how often have you felt confident about your ability to handle academic or personal problems?]]="Almost never",3,IF(Form_Responses[[#This Row],[4. In the last month, how often have you felt confident about your ability to handle academic or personal problems?]]="Sometimes",2,IF(Form_Responses[[#This Row],[4. In the last month, how often have you felt confident about your ability to handle academic or personal problems?]]="Fairly often",1,0))))</f>
        <v>0</v>
      </c>
      <c r="BC36" s="3" t="s">
        <v>124</v>
      </c>
      <c r="BD36" s="4">
        <f>IF(Form_Responses[[#This Row],[5. In the last month, how often have you felt that things were going well in your studies or personal life?]]="Never",4,IF(Form_Responses[[#This Row],[5. In the last month, how often have you felt that things were going well in your studies or personal life?]]="Almost never",3,IF(Form_Responses[[#This Row],[5. In the last month, how often have you felt that things were going well in your studies or personal life?]]="Sometimes",2,IF(Form_Responses[[#This Row],[5. In the last month, how often have you felt that things were going well in your studies or personal life?]]="Fairly often",1,0))))</f>
        <v>4</v>
      </c>
      <c r="BE36" s="3" t="s">
        <v>124</v>
      </c>
      <c r="BF36" s="4">
        <f>IF(Form_Responses[[#This Row],[6. In the last month, how often have you felt unable to cope with coursework, deadlines, or daily responsibilities?]]="Never",0,IF(Form_Responses[[#This Row],[6. In the last month, how often have you felt unable to cope with coursework, deadlines, or daily responsibilities?]]="Almost never",1,IF(Form_Responses[[#This Row],[6. In the last month, how often have you felt unable to cope with coursework, deadlines, or daily responsibilities?]]="Sometimes",2,IF(Form_Responses[[#This Row],[6. In the last month, how often have you felt unable to cope with coursework, deadlines, or daily responsibilities?]]="Fairly often",3,4))))</f>
        <v>0</v>
      </c>
      <c r="BG36" s="3" t="s">
        <v>88</v>
      </c>
      <c r="BH36" s="4">
        <f>IF(Form_Responses[[#This Row],[7. In the last month, how often have you been able to control irritations or frustrations in your life?]]="Never",4,IF(Form_Responses[[#This Row],[7. In the last month, how often have you been able to control irritations or frustrations in your life?]]="Almost never",3,IF(Form_Responses[[#This Row],[7. In the last month, how often have you been able to control irritations or frustrations in your life?]]="Sometimes",2,IF(Form_Responses[[#This Row],[7. In the last month, how often have you been able to control irritations or frustrations in your life?]]="Fairly often",1,0))))</f>
        <v>1</v>
      </c>
      <c r="BI36" s="3" t="s">
        <v>89</v>
      </c>
      <c r="BJ36" s="4">
        <f>IF(Form_Responses[[#This Row],[8. In the last month, how often have you felt that you were managing your academic and personal responsibilities well?]]="Never",4,IF(Form_Responses[[#This Row],[8. In the last month, how often have you felt that you were managing your academic and personal responsibilities well?]]="Almost never",3,IF(Form_Responses[[#This Row],[8. In the last month, how often have you felt that you were managing your academic and personal responsibilities well?]]="Sometimes",2,IF(Form_Responses[[#This Row],[8. In the last month, how often have you felt that you were managing your academic and personal responsibilities well?]]="Fairly often",1,0))))</f>
        <v>2</v>
      </c>
      <c r="BK36" s="3" t="s">
        <v>89</v>
      </c>
      <c r="BL36" s="5">
        <f>IF(Form_Responses[[#This Row],[9. In the last month, how often have you been angered or frustrated by situations outside your control, such as finances, academics, or relationships?]]="Never",0,IF(Form_Responses[[#This Row],[9. In the last month, how often have you been angered or frustrated by situations outside your control, such as finances, academics, or relationships?]]="Almost never",1,IF(Form_Responses[[#This Row],[9. In the last month, how often have you been angered or frustrated by situations outside your control, such as finances, academics, or relationships?]]="Sometimes",2,IF(Form_Responses[[#This Row],[9. In the last month, how often have you been angered or frustrated by situations outside your control, such as finances, academics, or relationships?]]="Fairly often",3,4))))</f>
        <v>2</v>
      </c>
      <c r="BM36" s="3" t="s">
        <v>89</v>
      </c>
      <c r="BN36" s="4">
        <f>IF(Form_Responses[[#This Row],[10. In the last month, how often have you felt that difficulties were piling up so much that you could not overcome them?]]="Never",0,IF(Form_Responses[[#This Row],[10. In the last month, how often have you felt that difficulties were piling up so much that you could not overcome them?]]="Almost never",1,IF(Form_Responses[[#This Row],[10. In the last month, how often have you felt that difficulties were piling up so much that you could not overcome them?]]="Sometimes",2,IF(Form_Responses[[#This Row],[10. In the last month, how often have you felt that difficulties were piling up so much that you could not overcome them?]]="Fairly often",3,4))))</f>
        <v>2</v>
      </c>
      <c r="BO36" s="4">
        <f>SUM(Form_Responses[[#This Row],[Score17]],Form_Responses[[#This Row],[Score18]],Form_Responses[[#This Row],[Score19]],Form_Responses[[#This Row],[Score20]],Form_Responses[[#This Row],[Score21]],Form_Responses[[#This Row],[Score22]],Form_Responses[[#This Row],[Score23]],Form_Responses[[#This Row],[Score24]],Form_Responses[[#This Row],[Score25]],Form_Responses[[#This Row],[Score26]])</f>
        <v>18</v>
      </c>
      <c r="BP36" s="4" t="str">
        <f>IF(Form_Responses[[#This Row],[Anxiety Score2]]&lt;=13,"Low stress",IF(Form_Responses[[#This Row],[Anxiety Score2]]&lt;=26,"Moderate stress","High stress"))</f>
        <v xml:space="preserve">Moderate stress</v>
      </c>
      <c r="BQ36" s="3" t="s">
        <v>76</v>
      </c>
      <c r="BR36" s="3" t="s">
        <v>76</v>
      </c>
      <c r="BS36" s="3" t="s">
        <v>281</v>
      </c>
      <c r="BT36" s="3" t="s">
        <v>137</v>
      </c>
      <c r="BU36" s="3" t="s">
        <v>106</v>
      </c>
      <c r="BV36" s="3" t="s">
        <v>282</v>
      </c>
      <c r="BW36" s="3" t="s">
        <v>283</v>
      </c>
      <c r="BX36" s="3" t="s">
        <v>284</v>
      </c>
    </row>
    <row r="37" ht="22.5" customHeight="1">
      <c r="A37" s="2">
        <v>46198.693658553238</v>
      </c>
      <c r="B37" s="3" t="s">
        <v>76</v>
      </c>
      <c r="C37" s="3" t="s">
        <v>154</v>
      </c>
      <c r="D37" s="3" t="s">
        <v>112</v>
      </c>
      <c r="E37" s="3" t="s">
        <v>98</v>
      </c>
      <c r="F37" s="3" t="s">
        <v>241</v>
      </c>
      <c r="G37" s="3" t="s">
        <v>81</v>
      </c>
      <c r="H37" s="3" t="s">
        <v>101</v>
      </c>
      <c r="I37" s="3" t="s">
        <v>83</v>
      </c>
      <c r="J37" s="3" t="s">
        <v>84</v>
      </c>
      <c r="K37" s="3" t="s">
        <v>142</v>
      </c>
      <c r="L37" s="4">
        <f>IF(K37="Not at all",0,IF(K37="Several days",1,IF(K37="More than half the days",2,3)))</f>
        <v>3</v>
      </c>
      <c r="M37" s="3" t="s">
        <v>104</v>
      </c>
      <c r="N37" s="4">
        <f>IF(M37="Not at all",0,IF(M37="Several days",1,IF(M37="More than half the days",2,3)))</f>
        <v>3</v>
      </c>
      <c r="O37" s="3" t="s">
        <v>104</v>
      </c>
      <c r="P37" s="5">
        <f>IF(O37="Not at all",0,IF(O37="Several days",1,IF(O37="More than half the days",2,3)))</f>
        <v>3</v>
      </c>
      <c r="Q37" s="3" t="s">
        <v>104</v>
      </c>
      <c r="R37" s="4">
        <f>IF(Q37="Not at all",0,IF(Q37="Several days",1,IF(Q37="More than half the days",2,3)))</f>
        <v>3</v>
      </c>
      <c r="S37" s="3" t="s">
        <v>85</v>
      </c>
      <c r="T37" s="4">
        <f>IF(S37="Not at all",0,IF(S37="Several days",1,IF(S37="More than half the days",2,3)))</f>
        <v>0</v>
      </c>
      <c r="U37" s="3" t="s">
        <v>86</v>
      </c>
      <c r="V37" s="4">
        <f>IF(U37="Not at all",0,IF(U37="Several days",1,IF(U37="More than half the days",2,3)))</f>
        <v>1</v>
      </c>
      <c r="W37" s="3" t="s">
        <v>86</v>
      </c>
      <c r="X37" s="4">
        <f>IF(W37="Not at all",0,IF(W37="Several days",1,IF(W37="More than half the days",2,3)))</f>
        <v>1</v>
      </c>
      <c r="Y37" s="3" t="s">
        <v>85</v>
      </c>
      <c r="Z37" s="4">
        <f>IF(Y37="Not at all",0,IF(Y37="Several days",1,IF(Y37="More than half the days",2,3)))</f>
        <v>0</v>
      </c>
      <c r="AA37" s="3" t="s">
        <v>85</v>
      </c>
      <c r="AB37" s="4">
        <f>IF(AA37="Not at all",0,IF(AA37="Several days",1,IF(AA37="More than half the days",2,3)))</f>
        <v>0</v>
      </c>
      <c r="AC37" s="4">
        <f>SUM(Form_Responses[[#This Row],[Score]],Form_Responses[[#This Row],[Score2]],Form_Responses[[#This Row],[Score3]],Form_Responses[[#This Row],[Score4]],Form_Responses[[#This Row],[Score5]],Form_Responses[[#This Row],[Score6]],Form_Responses[[#This Row],[Score7]],Form_Responses[[#This Row],[Score8]],Form_Responses[[#This Row],[Score9]])</f>
        <v>14</v>
      </c>
      <c r="AD37" s="4" t="str">
        <f>IF(Form_Responses[[#This Row],[Depression Score ]]&lt;=4,"Minimal symptoms",IF(Form_Responses[[#This Row],[Depression Score ]]&lt;=9,"Mild Depression",IF(Form_Responses[[#This Row],[Depression Score ]]&lt;=14,"Moderate depression",IF(Form_Responses[[#This Row],[Depression Score ]]&lt;=19,"Moderately severe depression","Severe depression"))))</f>
        <v xml:space="preserve">Moderate depression</v>
      </c>
      <c r="AE37" s="3" t="s">
        <v>86</v>
      </c>
      <c r="AF37" s="4">
        <f>IF(AE37="Not at all",0,IF(AE37="Several days",1,IF(AE37="More than half the days",2,3)))</f>
        <v>1</v>
      </c>
      <c r="AG37" s="3" t="s">
        <v>86</v>
      </c>
      <c r="AH37" s="4">
        <f>IF(AG37="Not at all",0,IF(AG37="Several days",1,IF(AG37="More than half the days",2,3)))</f>
        <v>1</v>
      </c>
      <c r="AI37" s="3" t="s">
        <v>86</v>
      </c>
      <c r="AJ37" s="4">
        <f>IF(AI37="Not at all",0,IF(AI37="Several days",1,IF(AI37="More than half the days",2,3)))</f>
        <v>1</v>
      </c>
      <c r="AK37" s="3" t="s">
        <v>85</v>
      </c>
      <c r="AL37" s="4">
        <f>IF(AK37="Not at all",0,IF(AK37="Several days",1,IF(AK37="More than half the days",2,3)))</f>
        <v>0</v>
      </c>
      <c r="AM37" s="3" t="s">
        <v>104</v>
      </c>
      <c r="AN37" s="4">
        <f>IF(AM37="Not at all",0,IF(AM37="Several days",1,IF(AM37="More than half the days",2,3)))</f>
        <v>3</v>
      </c>
      <c r="AO37" s="3" t="s">
        <v>85</v>
      </c>
      <c r="AP37" s="4">
        <f>IF(AO37="Not at all",0,IF(AO37="Several days",1,IF(AO37="More than half the days",2,3)))</f>
        <v>0</v>
      </c>
      <c r="AQ37" s="3" t="s">
        <v>85</v>
      </c>
      <c r="AR37" s="4">
        <f>IF(AQ37="Not at all",0,IF(AQ37="Several days",1,IF(AQ37="More than half the days",2,3)))</f>
        <v>0</v>
      </c>
      <c r="AS37" s="4">
        <f>SUM(Form_Responses[[#This Row],[Score16]],Form_Responses[[#This Row],[Score10]],Form_Responses[[#This Row],[Score11]],Form_Responses[[#This Row],[Score12]],Form_Responses[[#This Row],[Score13]],Form_Responses[[#This Row],[Score14]],Form_Responses[[#This Row],[Score15]])</f>
        <v>6</v>
      </c>
      <c r="AT37" s="4" t="str">
        <f>IF(Form_Responses[[#This Row],[Anxiety Score]]&lt;=4,"Minimal anxiety",IF(Form_Responses[[#This Row],[Anxiety Score]]&lt;=9,"Mild anxiety",IF(Form_Responses[[#This Row],[Anxiety Score]]&lt;=14,"Moderate anxiety","Severe anxiety")))</f>
        <v xml:space="preserve">Mild anxiety</v>
      </c>
      <c r="AU37" s="3" t="s">
        <v>105</v>
      </c>
      <c r="AV37" s="4">
        <f>IF(Form_Responses[[#This Row],[1. In the last month, how often have you been upset because of unexpected situations related to academics, finances, or personal life?]]="Never",0,IF(Form_Responses[[#This Row],[1. In the last month, how often have you been upset because of unexpected situations related to academics, finances, or personal life?]]="Almost never",1,IF(Form_Responses[[#This Row],[1. In the last month, how often have you been upset because of unexpected situations related to academics, finances, or personal life?]]="Sometimes",2,IF(Form_Responses[[#This Row],[1. In the last month, how often have you been upset because of unexpected situations related to academics, finances, or personal life?]]="Fairly often",3,4))))</f>
        <v>4</v>
      </c>
      <c r="AW37" s="3" t="s">
        <v>89</v>
      </c>
      <c r="AX37" s="5">
        <f>IF(Form_Responses[[#This Row],[2. In the last month, how often have you felt unable to control important things in your academic or personal life?]]="Never",0,IF(Form_Responses[[#This Row],[2. In the last month, how often have you felt unable to control important things in your academic or personal life?]]="Almost never",1,IF(Form_Responses[[#This Row],[2. In the last month, how often have you felt unable to control important things in your academic or personal life?]]="Sometimes",2,IF(Form_Responses[[#This Row],[2. In the last month, how often have you felt unable to control important things in your academic or personal life?]]="Fairly often",3,4))))</f>
        <v>2</v>
      </c>
      <c r="AY37" s="3" t="s">
        <v>124</v>
      </c>
      <c r="AZ37" s="4">
        <f>IF(Form_Responses[[#This Row],[3. In the last month, how often have you felt nervous or stressed because of university responsibilities or personal challenges?]]="Never",0,IF(Form_Responses[[#This Row],[3. In the last month, how often have you felt nervous or stressed because of university responsibilities or personal challenges?]]="Almost never",1,IF(Form_Responses[[#This Row],[3. In the last month, how often have you felt nervous or stressed because of university responsibilities or personal challenges?]]="Sometimes",2,IF(Form_Responses[[#This Row],[3. In the last month, how often have you felt nervous or stressed because of university responsibilities or personal challenges?]]="Fairly often",3,4))))</f>
        <v>0</v>
      </c>
      <c r="BA37" s="3" t="s">
        <v>105</v>
      </c>
      <c r="BB37" s="4">
        <f>IF(Form_Responses[[#This Row],[4. In the last month, how often have you felt confident about your ability to handle academic or personal problems?]]="Never",4,IF(Form_Responses[[#This Row],[4. In the last month, how often have you felt confident about your ability to handle academic or personal problems?]]="Almost never",3,IF(Form_Responses[[#This Row],[4. In the last month, how often have you felt confident about your ability to handle academic or personal problems?]]="Sometimes",2,IF(Form_Responses[[#This Row],[4. In the last month, how often have you felt confident about your ability to handle academic or personal problems?]]="Fairly often",1,0))))</f>
        <v>0</v>
      </c>
      <c r="BC37" s="3" t="s">
        <v>89</v>
      </c>
      <c r="BD37" s="4">
        <f>IF(Form_Responses[[#This Row],[5. In the last month, how often have you felt that things were going well in your studies or personal life?]]="Never",4,IF(Form_Responses[[#This Row],[5. In the last month, how often have you felt that things were going well in your studies or personal life?]]="Almost never",3,IF(Form_Responses[[#This Row],[5. In the last month, how often have you felt that things were going well in your studies or personal life?]]="Sometimes",2,IF(Form_Responses[[#This Row],[5. In the last month, how often have you felt that things were going well in your studies or personal life?]]="Fairly often",1,0))))</f>
        <v>2</v>
      </c>
      <c r="BE37" s="3" t="s">
        <v>124</v>
      </c>
      <c r="BF37" s="4">
        <f>IF(Form_Responses[[#This Row],[6. In the last month, how often have you felt unable to cope with coursework, deadlines, or daily responsibilities?]]="Never",0,IF(Form_Responses[[#This Row],[6. In the last month, how often have you felt unable to cope with coursework, deadlines, or daily responsibilities?]]="Almost never",1,IF(Form_Responses[[#This Row],[6. In the last month, how often have you felt unable to cope with coursework, deadlines, or daily responsibilities?]]="Sometimes",2,IF(Form_Responses[[#This Row],[6. In the last month, how often have you felt unable to cope with coursework, deadlines, or daily responsibilities?]]="Fairly often",3,4))))</f>
        <v>0</v>
      </c>
      <c r="BG37" s="3" t="s">
        <v>105</v>
      </c>
      <c r="BH37" s="4">
        <f>IF(Form_Responses[[#This Row],[7. In the last month, how often have you been able to control irritations or frustrations in your life?]]="Never",4,IF(Form_Responses[[#This Row],[7. In the last month, how often have you been able to control irritations or frustrations in your life?]]="Almost never",3,IF(Form_Responses[[#This Row],[7. In the last month, how often have you been able to control irritations or frustrations in your life?]]="Sometimes",2,IF(Form_Responses[[#This Row],[7. In the last month, how often have you been able to control irritations or frustrations in your life?]]="Fairly often",1,0))))</f>
        <v>0</v>
      </c>
      <c r="BI37" s="3" t="s">
        <v>105</v>
      </c>
      <c r="BJ37" s="4">
        <f>IF(Form_Responses[[#This Row],[8. In the last month, how often have you felt that you were managing your academic and personal responsibilities well?]]="Never",4,IF(Form_Responses[[#This Row],[8. In the last month, how often have you felt that you were managing your academic and personal responsibilities well?]]="Almost never",3,IF(Form_Responses[[#This Row],[8. In the last month, how often have you felt that you were managing your academic and personal responsibilities well?]]="Sometimes",2,IF(Form_Responses[[#This Row],[8. In the last month, how often have you felt that you were managing your academic and personal responsibilities well?]]="Fairly often",1,0))))</f>
        <v>0</v>
      </c>
      <c r="BK37" s="3" t="s">
        <v>105</v>
      </c>
      <c r="BL37" s="5">
        <f>IF(Form_Responses[[#This Row],[9. In the last month, how often have you been angered or frustrated by situations outside your control, such as finances, academics, or relationships?]]="Never",0,IF(Form_Responses[[#This Row],[9. In the last month, how often have you been angered or frustrated by situations outside your control, such as finances, academics, or relationships?]]="Almost never",1,IF(Form_Responses[[#This Row],[9. In the last month, how often have you been angered or frustrated by situations outside your control, such as finances, academics, or relationships?]]="Sometimes",2,IF(Form_Responses[[#This Row],[9. In the last month, how often have you been angered or frustrated by situations outside your control, such as finances, academics, or relationships?]]="Fairly often",3,4))))</f>
        <v>4</v>
      </c>
      <c r="BM37" s="3" t="s">
        <v>105</v>
      </c>
      <c r="BN37" s="4">
        <f>IF(Form_Responses[[#This Row],[10. In the last month, how often have you felt that difficulties were piling up so much that you could not overcome them?]]="Never",0,IF(Form_Responses[[#This Row],[10. In the last month, how often have you felt that difficulties were piling up so much that you could not overcome them?]]="Almost never",1,IF(Form_Responses[[#This Row],[10. In the last month, how often have you felt that difficulties were piling up so much that you could not overcome them?]]="Sometimes",2,IF(Form_Responses[[#This Row],[10. In the last month, how often have you felt that difficulties were piling up so much that you could not overcome them?]]="Fairly often",3,4))))</f>
        <v>4</v>
      </c>
      <c r="BO37" s="4">
        <f>SUM(Form_Responses[[#This Row],[Score17]],Form_Responses[[#This Row],[Score18]],Form_Responses[[#This Row],[Score19]],Form_Responses[[#This Row],[Score20]],Form_Responses[[#This Row],[Score21]],Form_Responses[[#This Row],[Score22]],Form_Responses[[#This Row],[Score23]],Form_Responses[[#This Row],[Score24]],Form_Responses[[#This Row],[Score25]],Form_Responses[[#This Row],[Score26]])</f>
        <v>16</v>
      </c>
      <c r="BP37" s="4" t="str">
        <f>IF(Form_Responses[[#This Row],[Anxiety Score2]]&lt;=13,"Low stress",IF(Form_Responses[[#This Row],[Anxiety Score2]]&lt;=26,"Moderate stress","High stress"))</f>
        <v xml:space="preserve">Moderate stress</v>
      </c>
      <c r="BQ37" s="3" t="s">
        <v>76</v>
      </c>
      <c r="BR37" s="3" t="s">
        <v>76</v>
      </c>
      <c r="BS37" s="3" t="s">
        <v>285</v>
      </c>
      <c r="BT37" s="3" t="s">
        <v>264</v>
      </c>
      <c r="BU37" s="3" t="s">
        <v>76</v>
      </c>
      <c r="BV37" s="3" t="s">
        <v>286</v>
      </c>
      <c r="BW37" s="3" t="s">
        <v>287</v>
      </c>
      <c r="BX37" s="3" t="s">
        <v>288</v>
      </c>
    </row>
    <row r="38" ht="22.5" customHeight="1">
      <c r="A38" s="2">
        <v>46198.721927222221</v>
      </c>
      <c r="B38" s="3" t="s">
        <v>76</v>
      </c>
      <c r="C38" s="3" t="s">
        <v>154</v>
      </c>
      <c r="D38" s="3" t="s">
        <v>78</v>
      </c>
      <c r="E38" s="3" t="s">
        <v>98</v>
      </c>
      <c r="F38" s="3" t="s">
        <v>241</v>
      </c>
      <c r="G38" s="3" t="s">
        <v>81</v>
      </c>
      <c r="H38" s="3" t="s">
        <v>122</v>
      </c>
      <c r="I38" s="3" t="s">
        <v>83</v>
      </c>
      <c r="J38" s="3" t="s">
        <v>103</v>
      </c>
      <c r="K38" s="3" t="s">
        <v>86</v>
      </c>
      <c r="L38" s="4">
        <f>IF(K38="Not at all",0,IF(K38="Several days",1,IF(K38="More than half the days",2,3)))</f>
        <v>1</v>
      </c>
      <c r="M38" s="3" t="s">
        <v>86</v>
      </c>
      <c r="N38" s="4">
        <f>IF(M38="Not at all",0,IF(M38="Several days",1,IF(M38="More than half the days",2,3)))</f>
        <v>1</v>
      </c>
      <c r="O38" s="3" t="s">
        <v>85</v>
      </c>
      <c r="P38" s="5">
        <f>IF(O38="Not at all",0,IF(O38="Several days",1,IF(O38="More than half the days",2,3)))</f>
        <v>0</v>
      </c>
      <c r="Q38" s="3" t="s">
        <v>86</v>
      </c>
      <c r="R38" s="4">
        <f>IF(Q38="Not at all",0,IF(Q38="Several days",1,IF(Q38="More than half the days",2,3)))</f>
        <v>1</v>
      </c>
      <c r="S38" s="3" t="s">
        <v>85</v>
      </c>
      <c r="T38" s="4">
        <f>IF(S38="Not at all",0,IF(S38="Several days",1,IF(S38="More than half the days",2,3)))</f>
        <v>0</v>
      </c>
      <c r="U38" s="3" t="s">
        <v>85</v>
      </c>
      <c r="V38" s="4">
        <f>IF(U38="Not at all",0,IF(U38="Several days",1,IF(U38="More than half the days",2,3)))</f>
        <v>0</v>
      </c>
      <c r="W38" s="3" t="s">
        <v>85</v>
      </c>
      <c r="X38" s="4">
        <f>IF(W38="Not at all",0,IF(W38="Several days",1,IF(W38="More than half the days",2,3)))</f>
        <v>0</v>
      </c>
      <c r="Y38" s="3" t="s">
        <v>86</v>
      </c>
      <c r="Z38" s="4">
        <f>IF(Y38="Not at all",0,IF(Y38="Several days",1,IF(Y38="More than half the days",2,3)))</f>
        <v>1</v>
      </c>
      <c r="AA38" s="3" t="s">
        <v>85</v>
      </c>
      <c r="AB38" s="4">
        <f>IF(AA38="Not at all",0,IF(AA38="Several days",1,IF(AA38="More than half the days",2,3)))</f>
        <v>0</v>
      </c>
      <c r="AC38" s="4">
        <f>SUM(Form_Responses[[#This Row],[Score]],Form_Responses[[#This Row],[Score2]],Form_Responses[[#This Row],[Score3]],Form_Responses[[#This Row],[Score4]],Form_Responses[[#This Row],[Score5]],Form_Responses[[#This Row],[Score6]],Form_Responses[[#This Row],[Score7]],Form_Responses[[#This Row],[Score8]],Form_Responses[[#This Row],[Score9]])</f>
        <v>4</v>
      </c>
      <c r="AD38" s="4" t="str">
        <f>IF(Form_Responses[[#This Row],[Depression Score ]]&lt;=4,"Minimal symptoms",IF(Form_Responses[[#This Row],[Depression Score ]]&lt;=9,"Mild Depression",IF(Form_Responses[[#This Row],[Depression Score ]]&lt;=14,"Moderate depression",IF(Form_Responses[[#This Row],[Depression Score ]]&lt;=19,"Moderately severe depression","Severe depression"))))</f>
        <v xml:space="preserve">Minimal symptoms</v>
      </c>
      <c r="AE38" s="3" t="s">
        <v>86</v>
      </c>
      <c r="AF38" s="4">
        <f>IF(AE38="Not at all",0,IF(AE38="Several days",1,IF(AE38="More than half the days",2,3)))</f>
        <v>1</v>
      </c>
      <c r="AG38" s="3" t="s">
        <v>86</v>
      </c>
      <c r="AH38" s="4">
        <f>IF(AG38="Not at all",0,IF(AG38="Several days",1,IF(AG38="More than half the days",2,3)))</f>
        <v>1</v>
      </c>
      <c r="AI38" s="3" t="s">
        <v>86</v>
      </c>
      <c r="AJ38" s="4">
        <f>IF(AI38="Not at all",0,IF(AI38="Several days",1,IF(AI38="More than half the days",2,3)))</f>
        <v>1</v>
      </c>
      <c r="AK38" s="3" t="s">
        <v>85</v>
      </c>
      <c r="AL38" s="4">
        <f>IF(AK38="Not at all",0,IF(AK38="Several days",1,IF(AK38="More than half the days",2,3)))</f>
        <v>0</v>
      </c>
      <c r="AM38" s="3" t="s">
        <v>85</v>
      </c>
      <c r="AN38" s="4">
        <f>IF(AM38="Not at all",0,IF(AM38="Several days",1,IF(AM38="More than half the days",2,3)))</f>
        <v>0</v>
      </c>
      <c r="AO38" s="3" t="s">
        <v>85</v>
      </c>
      <c r="AP38" s="4">
        <f>IF(AO38="Not at all",0,IF(AO38="Several days",1,IF(AO38="More than half the days",2,3)))</f>
        <v>0</v>
      </c>
      <c r="AQ38" s="3" t="s">
        <v>85</v>
      </c>
      <c r="AR38" s="4">
        <f>IF(AQ38="Not at all",0,IF(AQ38="Several days",1,IF(AQ38="More than half the days",2,3)))</f>
        <v>0</v>
      </c>
      <c r="AS38" s="4">
        <f>SUM(Form_Responses[[#This Row],[Score16]],Form_Responses[[#This Row],[Score10]],Form_Responses[[#This Row],[Score11]],Form_Responses[[#This Row],[Score12]],Form_Responses[[#This Row],[Score13]],Form_Responses[[#This Row],[Score14]],Form_Responses[[#This Row],[Score15]])</f>
        <v>3</v>
      </c>
      <c r="AT38" s="4" t="str">
        <f>IF(Form_Responses[[#This Row],[Anxiety Score]]&lt;=4,"Minimal anxiety",IF(Form_Responses[[#This Row],[Anxiety Score]]&lt;=9,"Mild anxiety",IF(Form_Responses[[#This Row],[Anxiety Score]]&lt;=14,"Moderate anxiety","Severe anxiety")))</f>
        <v xml:space="preserve">Minimal anxiety</v>
      </c>
      <c r="AU38" s="3" t="s">
        <v>89</v>
      </c>
      <c r="AV38" s="4">
        <f>IF(Form_Responses[[#This Row],[1. In the last month, how often have you been upset because of unexpected situations related to academics, finances, or personal life?]]="Never",0,IF(Form_Responses[[#This Row],[1. In the last month, how often have you been upset because of unexpected situations related to academics, finances, or personal life?]]="Almost never",1,IF(Form_Responses[[#This Row],[1. In the last month, how often have you been upset because of unexpected situations related to academics, finances, or personal life?]]="Sometimes",2,IF(Form_Responses[[#This Row],[1. In the last month, how often have you been upset because of unexpected situations related to academics, finances, or personal life?]]="Fairly often",3,4))))</f>
        <v>2</v>
      </c>
      <c r="AW38" s="3" t="s">
        <v>90</v>
      </c>
      <c r="AX38" s="5">
        <f>IF(Form_Responses[[#This Row],[2. In the last month, how often have you felt unable to control important things in your academic or personal life?]]="Never",0,IF(Form_Responses[[#This Row],[2. In the last month, how often have you felt unable to control important things in your academic or personal life?]]="Almost never",1,IF(Form_Responses[[#This Row],[2. In the last month, how often have you felt unable to control important things in your academic or personal life?]]="Sometimes",2,IF(Form_Responses[[#This Row],[2. In the last month, how often have you felt unable to control important things in your academic or personal life?]]="Fairly often",3,4))))</f>
        <v>1</v>
      </c>
      <c r="AY38" s="3" t="s">
        <v>89</v>
      </c>
      <c r="AZ38" s="4">
        <f>IF(Form_Responses[[#This Row],[3. In the last month, how often have you felt nervous or stressed because of university responsibilities or personal challenges?]]="Never",0,IF(Form_Responses[[#This Row],[3. In the last month, how often have you felt nervous or stressed because of university responsibilities or personal challenges?]]="Almost never",1,IF(Form_Responses[[#This Row],[3. In the last month, how often have you felt nervous or stressed because of university responsibilities or personal challenges?]]="Sometimes",2,IF(Form_Responses[[#This Row],[3. In the last month, how often have you felt nervous or stressed because of university responsibilities or personal challenges?]]="Fairly often",3,4))))</f>
        <v>2</v>
      </c>
      <c r="BA38" s="3" t="s">
        <v>89</v>
      </c>
      <c r="BB38" s="4">
        <f>IF(Form_Responses[[#This Row],[4. In the last month, how often have you felt confident about your ability to handle academic or personal problems?]]="Never",4,IF(Form_Responses[[#This Row],[4. In the last month, how often have you felt confident about your ability to handle academic or personal problems?]]="Almost never",3,IF(Form_Responses[[#This Row],[4. In the last month, how often have you felt confident about your ability to handle academic or personal problems?]]="Sometimes",2,IF(Form_Responses[[#This Row],[4. In the last month, how often have you felt confident about your ability to handle academic or personal problems?]]="Fairly often",1,0))))</f>
        <v>2</v>
      </c>
      <c r="BC38" s="3" t="s">
        <v>89</v>
      </c>
      <c r="BD38" s="4">
        <f>IF(Form_Responses[[#This Row],[5. In the last month, how often have you felt that things were going well in your studies or personal life?]]="Never",4,IF(Form_Responses[[#This Row],[5. In the last month, how often have you felt that things were going well in your studies or personal life?]]="Almost never",3,IF(Form_Responses[[#This Row],[5. In the last month, how often have you felt that things were going well in your studies or personal life?]]="Sometimes",2,IF(Form_Responses[[#This Row],[5. In the last month, how often have you felt that things were going well in your studies or personal life?]]="Fairly often",1,0))))</f>
        <v>2</v>
      </c>
      <c r="BE38" s="3" t="s">
        <v>88</v>
      </c>
      <c r="BF38" s="4">
        <f>IF(Form_Responses[[#This Row],[6. In the last month, how often have you felt unable to cope with coursework, deadlines, or daily responsibilities?]]="Never",0,IF(Form_Responses[[#This Row],[6. In the last month, how often have you felt unable to cope with coursework, deadlines, or daily responsibilities?]]="Almost never",1,IF(Form_Responses[[#This Row],[6. In the last month, how often have you felt unable to cope with coursework, deadlines, or daily responsibilities?]]="Sometimes",2,IF(Form_Responses[[#This Row],[6. In the last month, how often have you felt unable to cope with coursework, deadlines, or daily responsibilities?]]="Fairly often",3,4))))</f>
        <v>3</v>
      </c>
      <c r="BG38" s="3" t="s">
        <v>105</v>
      </c>
      <c r="BH38" s="4">
        <f>IF(Form_Responses[[#This Row],[7. In the last month, how often have you been able to control irritations or frustrations in your life?]]="Never",4,IF(Form_Responses[[#This Row],[7. In the last month, how often have you been able to control irritations or frustrations in your life?]]="Almost never",3,IF(Form_Responses[[#This Row],[7. In the last month, how often have you been able to control irritations or frustrations in your life?]]="Sometimes",2,IF(Form_Responses[[#This Row],[7. In the last month, how often have you been able to control irritations or frustrations in your life?]]="Fairly often",1,0))))</f>
        <v>0</v>
      </c>
      <c r="BI38" s="3" t="s">
        <v>88</v>
      </c>
      <c r="BJ38" s="4">
        <f>IF(Form_Responses[[#This Row],[8. In the last month, how often have you felt that you were managing your academic and personal responsibilities well?]]="Never",4,IF(Form_Responses[[#This Row],[8. In the last month, how often have you felt that you were managing your academic and personal responsibilities well?]]="Almost never",3,IF(Form_Responses[[#This Row],[8. In the last month, how often have you felt that you were managing your academic and personal responsibilities well?]]="Sometimes",2,IF(Form_Responses[[#This Row],[8. In the last month, how often have you felt that you were managing your academic and personal responsibilities well?]]="Fairly often",1,0))))</f>
        <v>1</v>
      </c>
      <c r="BK38" s="3" t="s">
        <v>105</v>
      </c>
      <c r="BL38" s="5">
        <f>IF(Form_Responses[[#This Row],[9. In the last month, how often have you been angered or frustrated by situations outside your control, such as finances, academics, or relationships?]]="Never",0,IF(Form_Responses[[#This Row],[9. In the last month, how often have you been angered or frustrated by situations outside your control, such as finances, academics, or relationships?]]="Almost never",1,IF(Form_Responses[[#This Row],[9. In the last month, how often have you been angered or frustrated by situations outside your control, such as finances, academics, or relationships?]]="Sometimes",2,IF(Form_Responses[[#This Row],[9. In the last month, how often have you been angered or frustrated by situations outside your control, such as finances, academics, or relationships?]]="Fairly often",3,4))))</f>
        <v>4</v>
      </c>
      <c r="BM38" s="3" t="s">
        <v>105</v>
      </c>
      <c r="BN38" s="4">
        <f>IF(Form_Responses[[#This Row],[10. In the last month, how often have you felt that difficulties were piling up so much that you could not overcome them?]]="Never",0,IF(Form_Responses[[#This Row],[10. In the last month, how often have you felt that difficulties were piling up so much that you could not overcome them?]]="Almost never",1,IF(Form_Responses[[#This Row],[10. In the last month, how often have you felt that difficulties were piling up so much that you could not overcome them?]]="Sometimes",2,IF(Form_Responses[[#This Row],[10. In the last month, how often have you felt that difficulties were piling up so much that you could not overcome them?]]="Fairly often",3,4))))</f>
        <v>4</v>
      </c>
      <c r="BO38" s="4">
        <f>SUM(Form_Responses[[#This Row],[Score17]],Form_Responses[[#This Row],[Score18]],Form_Responses[[#This Row],[Score19]],Form_Responses[[#This Row],[Score20]],Form_Responses[[#This Row],[Score21]],Form_Responses[[#This Row],[Score22]],Form_Responses[[#This Row],[Score23]],Form_Responses[[#This Row],[Score24]],Form_Responses[[#This Row],[Score25]],Form_Responses[[#This Row],[Score26]])</f>
        <v>21</v>
      </c>
      <c r="BP38" s="4" t="str">
        <f>IF(Form_Responses[[#This Row],[Anxiety Score2]]&lt;=13,"Low stress",IF(Form_Responses[[#This Row],[Anxiety Score2]]&lt;=26,"Moderate stress","High stress"))</f>
        <v xml:space="preserve">Moderate stress</v>
      </c>
      <c r="BQ38" s="3" t="s">
        <v>76</v>
      </c>
      <c r="BR38" s="3" t="s">
        <v>76</v>
      </c>
      <c r="BS38" s="3" t="s">
        <v>289</v>
      </c>
      <c r="BT38" s="3" t="s">
        <v>108</v>
      </c>
      <c r="BU38" s="3" t="s">
        <v>76</v>
      </c>
      <c r="BV38" s="3" t="s">
        <v>156</v>
      </c>
      <c r="BW38" s="3" t="s">
        <v>249</v>
      </c>
      <c r="BX38" s="3" t="s">
        <v>290</v>
      </c>
    </row>
    <row r="39" ht="22.5" customHeight="1">
      <c r="A39" s="2">
        <v>46198.727749733793</v>
      </c>
      <c r="B39" s="3" t="s">
        <v>76</v>
      </c>
      <c r="C39" s="3" t="s">
        <v>97</v>
      </c>
      <c r="D39" s="3" t="s">
        <v>112</v>
      </c>
      <c r="E39" s="3" t="s">
        <v>79</v>
      </c>
      <c r="F39" s="3" t="s">
        <v>291</v>
      </c>
      <c r="G39" s="3" t="s">
        <v>81</v>
      </c>
      <c r="H39" s="3" t="s">
        <v>82</v>
      </c>
      <c r="I39" s="3" t="s">
        <v>114</v>
      </c>
      <c r="J39" s="3" t="s">
        <v>160</v>
      </c>
      <c r="K39" s="3" t="s">
        <v>85</v>
      </c>
      <c r="L39" s="4">
        <f>IF(K39="Not at all",0,IF(K39="Several days",1,IF(K39="More than half the days",2,3)))</f>
        <v>0</v>
      </c>
      <c r="M39" s="3" t="s">
        <v>85</v>
      </c>
      <c r="N39" s="4">
        <f>IF(M39="Not at all",0,IF(M39="Several days",1,IF(M39="More than half the days",2,3)))</f>
        <v>0</v>
      </c>
      <c r="O39" s="3" t="s">
        <v>85</v>
      </c>
      <c r="P39" s="5">
        <f>IF(O39="Not at all",0,IF(O39="Several days",1,IF(O39="More than half the days",2,3)))</f>
        <v>0</v>
      </c>
      <c r="Q39" s="3" t="s">
        <v>85</v>
      </c>
      <c r="R39" s="4">
        <f>IF(Q39="Not at all",0,IF(Q39="Several days",1,IF(Q39="More than half the days",2,3)))</f>
        <v>0</v>
      </c>
      <c r="S39" s="3" t="s">
        <v>85</v>
      </c>
      <c r="T39" s="4">
        <f>IF(S39="Not at all",0,IF(S39="Several days",1,IF(S39="More than half the days",2,3)))</f>
        <v>0</v>
      </c>
      <c r="U39" s="3" t="s">
        <v>85</v>
      </c>
      <c r="V39" s="4">
        <f>IF(U39="Not at all",0,IF(U39="Several days",1,IF(U39="More than half the days",2,3)))</f>
        <v>0</v>
      </c>
      <c r="W39" s="3" t="s">
        <v>85</v>
      </c>
      <c r="X39" s="4">
        <f>IF(W39="Not at all",0,IF(W39="Several days",1,IF(W39="More than half the days",2,3)))</f>
        <v>0</v>
      </c>
      <c r="Y39" s="3" t="s">
        <v>85</v>
      </c>
      <c r="Z39" s="4">
        <f>IF(Y39="Not at all",0,IF(Y39="Several days",1,IF(Y39="More than half the days",2,3)))</f>
        <v>0</v>
      </c>
      <c r="AA39" s="3" t="s">
        <v>85</v>
      </c>
      <c r="AB39" s="4">
        <f>IF(AA39="Not at all",0,IF(AA39="Several days",1,IF(AA39="More than half the days",2,3)))</f>
        <v>0</v>
      </c>
      <c r="AC39" s="4">
        <f>SUM(Form_Responses[[#This Row],[Score]],Form_Responses[[#This Row],[Score2]],Form_Responses[[#This Row],[Score3]],Form_Responses[[#This Row],[Score4]],Form_Responses[[#This Row],[Score5]],Form_Responses[[#This Row],[Score6]],Form_Responses[[#This Row],[Score7]],Form_Responses[[#This Row],[Score8]],Form_Responses[[#This Row],[Score9]])</f>
        <v>0</v>
      </c>
      <c r="AD39" s="4" t="str">
        <f>IF(Form_Responses[[#This Row],[Depression Score ]]&lt;=4,"Minimal symptoms",IF(Form_Responses[[#This Row],[Depression Score ]]&lt;=9,"Mild Depression",IF(Form_Responses[[#This Row],[Depression Score ]]&lt;=14,"Moderate depression",IF(Form_Responses[[#This Row],[Depression Score ]]&lt;=19,"Moderately severe depression","Severe depression"))))</f>
        <v xml:space="preserve">Minimal symptoms</v>
      </c>
      <c r="AE39" s="3" t="s">
        <v>85</v>
      </c>
      <c r="AF39" s="4">
        <f>IF(AE39="Not at all",0,IF(AE39="Several days",1,IF(AE39="More than half the days",2,3)))</f>
        <v>0</v>
      </c>
      <c r="AG39" s="3" t="s">
        <v>85</v>
      </c>
      <c r="AH39" s="4">
        <f>IF(AG39="Not at all",0,IF(AG39="Several days",1,IF(AG39="More than half the days",2,3)))</f>
        <v>0</v>
      </c>
      <c r="AI39" s="3" t="s">
        <v>85</v>
      </c>
      <c r="AJ39" s="4">
        <f>IF(AI39="Not at all",0,IF(AI39="Several days",1,IF(AI39="More than half the days",2,3)))</f>
        <v>0</v>
      </c>
      <c r="AK39" s="3" t="s">
        <v>85</v>
      </c>
      <c r="AL39" s="4">
        <f>IF(AK39="Not at all",0,IF(AK39="Several days",1,IF(AK39="More than half the days",2,3)))</f>
        <v>0</v>
      </c>
      <c r="AM39" s="3" t="s">
        <v>85</v>
      </c>
      <c r="AN39" s="4">
        <f>IF(AM39="Not at all",0,IF(AM39="Several days",1,IF(AM39="More than half the days",2,3)))</f>
        <v>0</v>
      </c>
      <c r="AO39" s="3" t="s">
        <v>85</v>
      </c>
      <c r="AP39" s="4">
        <f>IF(AO39="Not at all",0,IF(AO39="Several days",1,IF(AO39="More than half the days",2,3)))</f>
        <v>0</v>
      </c>
      <c r="AQ39" s="3" t="s">
        <v>85</v>
      </c>
      <c r="AR39" s="4">
        <f>IF(AQ39="Not at all",0,IF(AQ39="Several days",1,IF(AQ39="More than half the days",2,3)))</f>
        <v>0</v>
      </c>
      <c r="AS39" s="4">
        <f>SUM(Form_Responses[[#This Row],[Score16]],Form_Responses[[#This Row],[Score10]],Form_Responses[[#This Row],[Score11]],Form_Responses[[#This Row],[Score12]],Form_Responses[[#This Row],[Score13]],Form_Responses[[#This Row],[Score14]],Form_Responses[[#This Row],[Score15]])</f>
        <v>0</v>
      </c>
      <c r="AT39" s="4" t="str">
        <f>IF(Form_Responses[[#This Row],[Anxiety Score]]&lt;=4,"Minimal anxiety",IF(Form_Responses[[#This Row],[Anxiety Score]]&lt;=9,"Mild anxiety",IF(Form_Responses[[#This Row],[Anxiety Score]]&lt;=14,"Moderate anxiety","Severe anxiety")))</f>
        <v xml:space="preserve">Minimal anxiety</v>
      </c>
      <c r="AU39" s="3" t="s">
        <v>90</v>
      </c>
      <c r="AV39" s="4">
        <f>IF(Form_Responses[[#This Row],[1. In the last month, how often have you been upset because of unexpected situations related to academics, finances, or personal life?]]="Never",0,IF(Form_Responses[[#This Row],[1. In the last month, how often have you been upset because of unexpected situations related to academics, finances, or personal life?]]="Almost never",1,IF(Form_Responses[[#This Row],[1. In the last month, how often have you been upset because of unexpected situations related to academics, finances, or personal life?]]="Sometimes",2,IF(Form_Responses[[#This Row],[1. In the last month, how often have you been upset because of unexpected situations related to academics, finances, or personal life?]]="Fairly often",3,4))))</f>
        <v>1</v>
      </c>
      <c r="AW39" s="3" t="s">
        <v>90</v>
      </c>
      <c r="AX39" s="5">
        <f>IF(Form_Responses[[#This Row],[2. In the last month, how often have you felt unable to control important things in your academic or personal life?]]="Never",0,IF(Form_Responses[[#This Row],[2. In the last month, how often have you felt unable to control important things in your academic or personal life?]]="Almost never",1,IF(Form_Responses[[#This Row],[2. In the last month, how often have you felt unable to control important things in your academic or personal life?]]="Sometimes",2,IF(Form_Responses[[#This Row],[2. In the last month, how often have you felt unable to control important things in your academic or personal life?]]="Fairly often",3,4))))</f>
        <v>1</v>
      </c>
      <c r="AY39" s="3" t="s">
        <v>89</v>
      </c>
      <c r="AZ39" s="4">
        <f>IF(Form_Responses[[#This Row],[3. In the last month, how often have you felt nervous or stressed because of university responsibilities or personal challenges?]]="Never",0,IF(Form_Responses[[#This Row],[3. In the last month, how often have you felt nervous or stressed because of university responsibilities or personal challenges?]]="Almost never",1,IF(Form_Responses[[#This Row],[3. In the last month, how often have you felt nervous or stressed because of university responsibilities or personal challenges?]]="Sometimes",2,IF(Form_Responses[[#This Row],[3. In the last month, how often have you felt nervous or stressed because of university responsibilities or personal challenges?]]="Fairly often",3,4))))</f>
        <v>2</v>
      </c>
      <c r="BA39" s="3" t="s">
        <v>105</v>
      </c>
      <c r="BB39" s="4">
        <f>IF(Form_Responses[[#This Row],[4. In the last month, how often have you felt confident about your ability to handle academic or personal problems?]]="Never",4,IF(Form_Responses[[#This Row],[4. In the last month, how often have you felt confident about your ability to handle academic or personal problems?]]="Almost never",3,IF(Form_Responses[[#This Row],[4. In the last month, how often have you felt confident about your ability to handle academic or personal problems?]]="Sometimes",2,IF(Form_Responses[[#This Row],[4. In the last month, how often have you felt confident about your ability to handle academic or personal problems?]]="Fairly often",1,0))))</f>
        <v>0</v>
      </c>
      <c r="BC39" s="3" t="s">
        <v>105</v>
      </c>
      <c r="BD39" s="4">
        <f>IF(Form_Responses[[#This Row],[5. In the last month, how often have you felt that things were going well in your studies or personal life?]]="Never",4,IF(Form_Responses[[#This Row],[5. In the last month, how often have you felt that things were going well in your studies or personal life?]]="Almost never",3,IF(Form_Responses[[#This Row],[5. In the last month, how often have you felt that things were going well in your studies or personal life?]]="Sometimes",2,IF(Form_Responses[[#This Row],[5. In the last month, how often have you felt that things were going well in your studies or personal life?]]="Fairly often",1,0))))</f>
        <v>0</v>
      </c>
      <c r="BE39" s="3" t="s">
        <v>90</v>
      </c>
      <c r="BF39" s="4">
        <f>IF(Form_Responses[[#This Row],[6. In the last month, how often have you felt unable to cope with coursework, deadlines, or daily responsibilities?]]="Never",0,IF(Form_Responses[[#This Row],[6. In the last month, how often have you felt unable to cope with coursework, deadlines, or daily responsibilities?]]="Almost never",1,IF(Form_Responses[[#This Row],[6. In the last month, how often have you felt unable to cope with coursework, deadlines, or daily responsibilities?]]="Sometimes",2,IF(Form_Responses[[#This Row],[6. In the last month, how often have you felt unable to cope with coursework, deadlines, or daily responsibilities?]]="Fairly often",3,4))))</f>
        <v>1</v>
      </c>
      <c r="BG39" s="3" t="s">
        <v>88</v>
      </c>
      <c r="BH39" s="4">
        <f>IF(Form_Responses[[#This Row],[7. In the last month, how often have you been able to control irritations or frustrations in your life?]]="Never",4,IF(Form_Responses[[#This Row],[7. In the last month, how often have you been able to control irritations or frustrations in your life?]]="Almost never",3,IF(Form_Responses[[#This Row],[7. In the last month, how often have you been able to control irritations or frustrations in your life?]]="Sometimes",2,IF(Form_Responses[[#This Row],[7. In the last month, how often have you been able to control irritations or frustrations in your life?]]="Fairly often",1,0))))</f>
        <v>1</v>
      </c>
      <c r="BI39" s="3" t="s">
        <v>105</v>
      </c>
      <c r="BJ39" s="4">
        <f>IF(Form_Responses[[#This Row],[8. In the last month, how often have you felt that you were managing your academic and personal responsibilities well?]]="Never",4,IF(Form_Responses[[#This Row],[8. In the last month, how often have you felt that you were managing your academic and personal responsibilities well?]]="Almost never",3,IF(Form_Responses[[#This Row],[8. In the last month, how often have you felt that you were managing your academic and personal responsibilities well?]]="Sometimes",2,IF(Form_Responses[[#This Row],[8. In the last month, how often have you felt that you were managing your academic and personal responsibilities well?]]="Fairly often",1,0))))</f>
        <v>0</v>
      </c>
      <c r="BK39" s="3" t="s">
        <v>89</v>
      </c>
      <c r="BL39" s="5">
        <f>IF(Form_Responses[[#This Row],[9. In the last month, how often have you been angered or frustrated by situations outside your control, such as finances, academics, or relationships?]]="Never",0,IF(Form_Responses[[#This Row],[9. In the last month, how often have you been angered or frustrated by situations outside your control, such as finances, academics, or relationships?]]="Almost never",1,IF(Form_Responses[[#This Row],[9. In the last month, how often have you been angered or frustrated by situations outside your control, such as finances, academics, or relationships?]]="Sometimes",2,IF(Form_Responses[[#This Row],[9. In the last month, how often have you been angered or frustrated by situations outside your control, such as finances, academics, or relationships?]]="Fairly often",3,4))))</f>
        <v>2</v>
      </c>
      <c r="BM39" s="3" t="s">
        <v>89</v>
      </c>
      <c r="BN39" s="4">
        <f>IF(Form_Responses[[#This Row],[10. In the last month, how often have you felt that difficulties were piling up so much that you could not overcome them?]]="Never",0,IF(Form_Responses[[#This Row],[10. In the last month, how often have you felt that difficulties were piling up so much that you could not overcome them?]]="Almost never",1,IF(Form_Responses[[#This Row],[10. In the last month, how often have you felt that difficulties were piling up so much that you could not overcome them?]]="Sometimes",2,IF(Form_Responses[[#This Row],[10. In the last month, how often have you felt that difficulties were piling up so much that you could not overcome them?]]="Fairly often",3,4))))</f>
        <v>2</v>
      </c>
      <c r="BO39" s="4">
        <f>SUM(Form_Responses[[#This Row],[Score17]],Form_Responses[[#This Row],[Score18]],Form_Responses[[#This Row],[Score19]],Form_Responses[[#This Row],[Score20]],Form_Responses[[#This Row],[Score21]],Form_Responses[[#This Row],[Score22]],Form_Responses[[#This Row],[Score23]],Form_Responses[[#This Row],[Score24]],Form_Responses[[#This Row],[Score25]],Form_Responses[[#This Row],[Score26]])</f>
        <v>10</v>
      </c>
      <c r="BP39" s="4" t="str">
        <f>IF(Form_Responses[[#This Row],[Anxiety Score2]]&lt;=13,"Low stress",IF(Form_Responses[[#This Row],[Anxiety Score2]]&lt;=26,"Moderate stress","High stress"))</f>
        <v xml:space="preserve">Low stress</v>
      </c>
      <c r="BQ39" s="3" t="s">
        <v>91</v>
      </c>
      <c r="BR39" s="3" t="s">
        <v>106</v>
      </c>
      <c r="BS39" s="3" t="s">
        <v>174</v>
      </c>
      <c r="BT39" s="3" t="s">
        <v>108</v>
      </c>
      <c r="BU39" s="3" t="s">
        <v>106</v>
      </c>
      <c r="BV39" s="3" t="s">
        <v>292</v>
      </c>
      <c r="BW39" s="3" t="s">
        <v>293</v>
      </c>
      <c r="BX39" s="3" t="s">
        <v>294</v>
      </c>
    </row>
    <row r="40" ht="22.5" customHeight="1">
      <c r="A40" s="2">
        <v>46198.728576805559</v>
      </c>
      <c r="B40" s="3" t="s">
        <v>76</v>
      </c>
      <c r="C40" s="3" t="s">
        <v>154</v>
      </c>
      <c r="D40" s="3" t="s">
        <v>78</v>
      </c>
      <c r="E40" s="3" t="s">
        <v>79</v>
      </c>
      <c r="F40" s="3" t="s">
        <v>80</v>
      </c>
      <c r="G40" s="3" t="s">
        <v>81</v>
      </c>
      <c r="H40" s="3" t="s">
        <v>101</v>
      </c>
      <c r="I40" s="3" t="s">
        <v>83</v>
      </c>
      <c r="J40" s="3" t="s">
        <v>160</v>
      </c>
      <c r="K40" s="3" t="s">
        <v>86</v>
      </c>
      <c r="L40" s="4">
        <f>IF(K40="Not at all",0,IF(K40="Several days",1,IF(K40="More than half the days",2,3)))</f>
        <v>1</v>
      </c>
      <c r="M40" s="3" t="s">
        <v>85</v>
      </c>
      <c r="N40" s="4">
        <f>IF(M40="Not at all",0,IF(M40="Several days",1,IF(M40="More than half the days",2,3)))</f>
        <v>0</v>
      </c>
      <c r="O40" s="3" t="s">
        <v>85</v>
      </c>
      <c r="P40" s="5">
        <f>IF(O40="Not at all",0,IF(O40="Several days",1,IF(O40="More than half the days",2,3)))</f>
        <v>0</v>
      </c>
      <c r="Q40" s="3" t="s">
        <v>85</v>
      </c>
      <c r="R40" s="4">
        <f>IF(Q40="Not at all",0,IF(Q40="Several days",1,IF(Q40="More than half the days",2,3)))</f>
        <v>0</v>
      </c>
      <c r="S40" s="3" t="s">
        <v>85</v>
      </c>
      <c r="T40" s="4">
        <f>IF(S40="Not at all",0,IF(S40="Several days",1,IF(S40="More than half the days",2,3)))</f>
        <v>0</v>
      </c>
      <c r="U40" s="3" t="s">
        <v>85</v>
      </c>
      <c r="V40" s="4">
        <f>IF(U40="Not at all",0,IF(U40="Several days",1,IF(U40="More than half the days",2,3)))</f>
        <v>0</v>
      </c>
      <c r="W40" s="3" t="s">
        <v>85</v>
      </c>
      <c r="X40" s="4">
        <f>IF(W40="Not at all",0,IF(W40="Several days",1,IF(W40="More than half the days",2,3)))</f>
        <v>0</v>
      </c>
      <c r="Y40" s="3" t="s">
        <v>85</v>
      </c>
      <c r="Z40" s="4">
        <f>IF(Y40="Not at all",0,IF(Y40="Several days",1,IF(Y40="More than half the days",2,3)))</f>
        <v>0</v>
      </c>
      <c r="AA40" s="3" t="s">
        <v>85</v>
      </c>
      <c r="AB40" s="4">
        <f>IF(AA40="Not at all",0,IF(AA40="Several days",1,IF(AA40="More than half the days",2,3)))</f>
        <v>0</v>
      </c>
      <c r="AC40" s="4">
        <f>SUM(Form_Responses[[#This Row],[Score]],Form_Responses[[#This Row],[Score2]],Form_Responses[[#This Row],[Score3]],Form_Responses[[#This Row],[Score4]],Form_Responses[[#This Row],[Score5]],Form_Responses[[#This Row],[Score6]],Form_Responses[[#This Row],[Score7]],Form_Responses[[#This Row],[Score8]],Form_Responses[[#This Row],[Score9]])</f>
        <v>1</v>
      </c>
      <c r="AD40" s="4" t="str">
        <f>IF(Form_Responses[[#This Row],[Depression Score ]]&lt;=4,"Minimal symptoms",IF(Form_Responses[[#This Row],[Depression Score ]]&lt;=9,"Mild Depression",IF(Form_Responses[[#This Row],[Depression Score ]]&lt;=14,"Moderate depression",IF(Form_Responses[[#This Row],[Depression Score ]]&lt;=19,"Moderately severe depression","Severe depression"))))</f>
        <v xml:space="preserve">Minimal symptoms</v>
      </c>
      <c r="AE40" s="3" t="s">
        <v>85</v>
      </c>
      <c r="AF40" s="4">
        <f>IF(AE40="Not at all",0,IF(AE40="Several days",1,IF(AE40="More than half the days",2,3)))</f>
        <v>0</v>
      </c>
      <c r="AG40" s="3" t="s">
        <v>85</v>
      </c>
      <c r="AH40" s="4">
        <f>IF(AG40="Not at all",0,IF(AG40="Several days",1,IF(AG40="More than half the days",2,3)))</f>
        <v>0</v>
      </c>
      <c r="AI40" s="3" t="s">
        <v>86</v>
      </c>
      <c r="AJ40" s="4">
        <f>IF(AI40="Not at all",0,IF(AI40="Several days",1,IF(AI40="More than half the days",2,3)))</f>
        <v>1</v>
      </c>
      <c r="AK40" s="3" t="s">
        <v>85</v>
      </c>
      <c r="AL40" s="4">
        <f>IF(AK40="Not at all",0,IF(AK40="Several days",1,IF(AK40="More than half the days",2,3)))</f>
        <v>0</v>
      </c>
      <c r="AM40" s="3" t="s">
        <v>86</v>
      </c>
      <c r="AN40" s="4">
        <f>IF(AM40="Not at all",0,IF(AM40="Several days",1,IF(AM40="More than half the days",2,3)))</f>
        <v>1</v>
      </c>
      <c r="AO40" s="3" t="s">
        <v>85</v>
      </c>
      <c r="AP40" s="4">
        <f>IF(AO40="Not at all",0,IF(AO40="Several days",1,IF(AO40="More than half the days",2,3)))</f>
        <v>0</v>
      </c>
      <c r="AQ40" s="3" t="s">
        <v>85</v>
      </c>
      <c r="AR40" s="4">
        <f>IF(AQ40="Not at all",0,IF(AQ40="Several days",1,IF(AQ40="More than half the days",2,3)))</f>
        <v>0</v>
      </c>
      <c r="AS40" s="4">
        <f>SUM(Form_Responses[[#This Row],[Score16]],Form_Responses[[#This Row],[Score10]],Form_Responses[[#This Row],[Score11]],Form_Responses[[#This Row],[Score12]],Form_Responses[[#This Row],[Score13]],Form_Responses[[#This Row],[Score14]],Form_Responses[[#This Row],[Score15]])</f>
        <v>2</v>
      </c>
      <c r="AT40" s="4" t="str">
        <f>IF(Form_Responses[[#This Row],[Anxiety Score]]&lt;=4,"Minimal anxiety",IF(Form_Responses[[#This Row],[Anxiety Score]]&lt;=9,"Mild anxiety",IF(Form_Responses[[#This Row],[Anxiety Score]]&lt;=14,"Moderate anxiety","Severe anxiety")))</f>
        <v xml:space="preserve">Minimal anxiety</v>
      </c>
      <c r="AU40" s="3" t="s">
        <v>89</v>
      </c>
      <c r="AV40" s="4">
        <f>IF(Form_Responses[[#This Row],[1. In the last month, how often have you been upset because of unexpected situations related to academics, finances, or personal life?]]="Never",0,IF(Form_Responses[[#This Row],[1. In the last month, how often have you been upset because of unexpected situations related to academics, finances, or personal life?]]="Almost never",1,IF(Form_Responses[[#This Row],[1. In the last month, how often have you been upset because of unexpected situations related to academics, finances, or personal life?]]="Sometimes",2,IF(Form_Responses[[#This Row],[1. In the last month, how often have you been upset because of unexpected situations related to academics, finances, or personal life?]]="Fairly often",3,4))))</f>
        <v>2</v>
      </c>
      <c r="AW40" s="3" t="s">
        <v>88</v>
      </c>
      <c r="AX40" s="5">
        <f>IF(Form_Responses[[#This Row],[2. In the last month, how often have you felt unable to control important things in your academic or personal life?]]="Never",0,IF(Form_Responses[[#This Row],[2. In the last month, how often have you felt unable to control important things in your academic or personal life?]]="Almost never",1,IF(Form_Responses[[#This Row],[2. In the last month, how often have you felt unable to control important things in your academic or personal life?]]="Sometimes",2,IF(Form_Responses[[#This Row],[2. In the last month, how often have you felt unable to control important things in your academic or personal life?]]="Fairly often",3,4))))</f>
        <v>3</v>
      </c>
      <c r="AY40" s="3" t="s">
        <v>105</v>
      </c>
      <c r="AZ40" s="4">
        <f>IF(Form_Responses[[#This Row],[3. In the last month, how often have you felt nervous or stressed because of university responsibilities or personal challenges?]]="Never",0,IF(Form_Responses[[#This Row],[3. In the last month, how often have you felt nervous or stressed because of university responsibilities or personal challenges?]]="Almost never",1,IF(Form_Responses[[#This Row],[3. In the last month, how often have you felt nervous or stressed because of university responsibilities or personal challenges?]]="Sometimes",2,IF(Form_Responses[[#This Row],[3. In the last month, how often have you felt nervous or stressed because of university responsibilities or personal challenges?]]="Fairly often",3,4))))</f>
        <v>4</v>
      </c>
      <c r="BA40" s="3" t="s">
        <v>105</v>
      </c>
      <c r="BB40" s="4">
        <f>IF(Form_Responses[[#This Row],[4. In the last month, how often have you felt confident about your ability to handle academic or personal problems?]]="Never",4,IF(Form_Responses[[#This Row],[4. In the last month, how often have you felt confident about your ability to handle academic or personal problems?]]="Almost never",3,IF(Form_Responses[[#This Row],[4. In the last month, how often have you felt confident about your ability to handle academic or personal problems?]]="Sometimes",2,IF(Form_Responses[[#This Row],[4. In the last month, how often have you felt confident about your ability to handle academic or personal problems?]]="Fairly often",1,0))))</f>
        <v>0</v>
      </c>
      <c r="BC40" s="3" t="s">
        <v>88</v>
      </c>
      <c r="BD40" s="4">
        <f>IF(Form_Responses[[#This Row],[5. In the last month, how often have you felt that things were going well in your studies or personal life?]]="Never",4,IF(Form_Responses[[#This Row],[5. In the last month, how often have you felt that things were going well in your studies or personal life?]]="Almost never",3,IF(Form_Responses[[#This Row],[5. In the last month, how often have you felt that things were going well in your studies or personal life?]]="Sometimes",2,IF(Form_Responses[[#This Row],[5. In the last month, how often have you felt that things were going well in your studies or personal life?]]="Fairly often",1,0))))</f>
        <v>1</v>
      </c>
      <c r="BE40" s="3" t="s">
        <v>90</v>
      </c>
      <c r="BF40" s="4">
        <f>IF(Form_Responses[[#This Row],[6. In the last month, how often have you felt unable to cope with coursework, deadlines, or daily responsibilities?]]="Never",0,IF(Form_Responses[[#This Row],[6. In the last month, how often have you felt unable to cope with coursework, deadlines, or daily responsibilities?]]="Almost never",1,IF(Form_Responses[[#This Row],[6. In the last month, how often have you felt unable to cope with coursework, deadlines, or daily responsibilities?]]="Sometimes",2,IF(Form_Responses[[#This Row],[6. In the last month, how often have you felt unable to cope with coursework, deadlines, or daily responsibilities?]]="Fairly often",3,4))))</f>
        <v>1</v>
      </c>
      <c r="BG40" s="3" t="s">
        <v>105</v>
      </c>
      <c r="BH40" s="4">
        <f>IF(Form_Responses[[#This Row],[7. In the last month, how often have you been able to control irritations or frustrations in your life?]]="Never",4,IF(Form_Responses[[#This Row],[7. In the last month, how often have you been able to control irritations or frustrations in your life?]]="Almost never",3,IF(Form_Responses[[#This Row],[7. In the last month, how often have you been able to control irritations or frustrations in your life?]]="Sometimes",2,IF(Form_Responses[[#This Row],[7. In the last month, how often have you been able to control irritations or frustrations in your life?]]="Fairly often",1,0))))</f>
        <v>0</v>
      </c>
      <c r="BI40" s="3" t="s">
        <v>88</v>
      </c>
      <c r="BJ40" s="4">
        <f>IF(Form_Responses[[#This Row],[8. In the last month, how often have you felt that you were managing your academic and personal responsibilities well?]]="Never",4,IF(Form_Responses[[#This Row],[8. In the last month, how often have you felt that you were managing your academic and personal responsibilities well?]]="Almost never",3,IF(Form_Responses[[#This Row],[8. In the last month, how often have you felt that you were managing your academic and personal responsibilities well?]]="Sometimes",2,IF(Form_Responses[[#This Row],[8. In the last month, how often have you felt that you were managing your academic and personal responsibilities well?]]="Fairly often",1,0))))</f>
        <v>1</v>
      </c>
      <c r="BK40" s="3" t="s">
        <v>105</v>
      </c>
      <c r="BL40" s="5">
        <f>IF(Form_Responses[[#This Row],[9. In the last month, how often have you been angered or frustrated by situations outside your control, such as finances, academics, or relationships?]]="Never",0,IF(Form_Responses[[#This Row],[9. In the last month, how often have you been angered or frustrated by situations outside your control, such as finances, academics, or relationships?]]="Almost never",1,IF(Form_Responses[[#This Row],[9. In the last month, how often have you been angered or frustrated by situations outside your control, such as finances, academics, or relationships?]]="Sometimes",2,IF(Form_Responses[[#This Row],[9. In the last month, how often have you been angered or frustrated by situations outside your control, such as finances, academics, or relationships?]]="Fairly often",3,4))))</f>
        <v>4</v>
      </c>
      <c r="BM40" s="3" t="s">
        <v>89</v>
      </c>
      <c r="BN40" s="4">
        <f>IF(Form_Responses[[#This Row],[10. In the last month, how often have you felt that difficulties were piling up so much that you could not overcome them?]]="Never",0,IF(Form_Responses[[#This Row],[10. In the last month, how often have you felt that difficulties were piling up so much that you could not overcome them?]]="Almost never",1,IF(Form_Responses[[#This Row],[10. In the last month, how often have you felt that difficulties were piling up so much that you could not overcome them?]]="Sometimes",2,IF(Form_Responses[[#This Row],[10. In the last month, how often have you felt that difficulties were piling up so much that you could not overcome them?]]="Fairly often",3,4))))</f>
        <v>2</v>
      </c>
      <c r="BO40" s="4">
        <f>SUM(Form_Responses[[#This Row],[Score17]],Form_Responses[[#This Row],[Score18]],Form_Responses[[#This Row],[Score19]],Form_Responses[[#This Row],[Score20]],Form_Responses[[#This Row],[Score21]],Form_Responses[[#This Row],[Score22]],Form_Responses[[#This Row],[Score23]],Form_Responses[[#This Row],[Score24]],Form_Responses[[#This Row],[Score25]],Form_Responses[[#This Row],[Score26]])</f>
        <v>18</v>
      </c>
      <c r="BP40" s="4" t="str">
        <f>IF(Form_Responses[[#This Row],[Anxiety Score2]]&lt;=13,"Low stress",IF(Form_Responses[[#This Row],[Anxiety Score2]]&lt;=26,"Moderate stress","High stress"))</f>
        <v xml:space="preserve">Moderate stress</v>
      </c>
      <c r="BQ40" s="3" t="s">
        <v>76</v>
      </c>
      <c r="BR40" s="3" t="s">
        <v>76</v>
      </c>
      <c r="BS40" s="3" t="s">
        <v>289</v>
      </c>
      <c r="BT40" s="3" t="s">
        <v>214</v>
      </c>
      <c r="BU40" s="3" t="s">
        <v>76</v>
      </c>
      <c r="BV40" s="3" t="s">
        <v>295</v>
      </c>
      <c r="BW40" s="3" t="s">
        <v>296</v>
      </c>
      <c r="BX40" s="3" t="s">
        <v>297</v>
      </c>
    </row>
    <row r="41" ht="22.5" customHeight="1">
      <c r="A41" s="2">
        <v>46198.735005763891</v>
      </c>
      <c r="B41" s="3" t="s">
        <v>76</v>
      </c>
      <c r="C41" s="3" t="s">
        <v>154</v>
      </c>
      <c r="D41" s="3" t="s">
        <v>78</v>
      </c>
      <c r="E41" s="3" t="s">
        <v>79</v>
      </c>
      <c r="F41" s="3" t="s">
        <v>170</v>
      </c>
      <c r="G41" s="3" t="s">
        <v>81</v>
      </c>
      <c r="H41" s="3" t="s">
        <v>101</v>
      </c>
      <c r="I41" s="3" t="s">
        <v>83</v>
      </c>
      <c r="J41" s="3" t="s">
        <v>84</v>
      </c>
      <c r="K41" s="3" t="s">
        <v>85</v>
      </c>
      <c r="L41" s="4">
        <f>IF(K41="Not at all",0,IF(K41="Several days",1,IF(K41="More than half the days",2,3)))</f>
        <v>0</v>
      </c>
      <c r="M41" s="3" t="s">
        <v>85</v>
      </c>
      <c r="N41" s="4">
        <f>IF(M41="Not at all",0,IF(M41="Several days",1,IF(M41="More than half the days",2,3)))</f>
        <v>0</v>
      </c>
      <c r="O41" s="3" t="s">
        <v>85</v>
      </c>
      <c r="P41" s="5">
        <f>IF(O41="Not at all",0,IF(O41="Several days",1,IF(O41="More than half the days",2,3)))</f>
        <v>0</v>
      </c>
      <c r="Q41" s="3" t="s">
        <v>85</v>
      </c>
      <c r="R41" s="4">
        <f>IF(Q41="Not at all",0,IF(Q41="Several days",1,IF(Q41="More than half the days",2,3)))</f>
        <v>0</v>
      </c>
      <c r="S41" s="3" t="s">
        <v>85</v>
      </c>
      <c r="T41" s="4">
        <f>IF(S41="Not at all",0,IF(S41="Several days",1,IF(S41="More than half the days",2,3)))</f>
        <v>0</v>
      </c>
      <c r="U41" s="3" t="s">
        <v>85</v>
      </c>
      <c r="V41" s="4">
        <f>IF(U41="Not at all",0,IF(U41="Several days",1,IF(U41="More than half the days",2,3)))</f>
        <v>0</v>
      </c>
      <c r="W41" s="3" t="s">
        <v>85</v>
      </c>
      <c r="X41" s="4">
        <f>IF(W41="Not at all",0,IF(W41="Several days",1,IF(W41="More than half the days",2,3)))</f>
        <v>0</v>
      </c>
      <c r="Y41" s="3" t="s">
        <v>85</v>
      </c>
      <c r="Z41" s="4">
        <f>IF(Y41="Not at all",0,IF(Y41="Several days",1,IF(Y41="More than half the days",2,3)))</f>
        <v>0</v>
      </c>
      <c r="AA41" s="3" t="s">
        <v>85</v>
      </c>
      <c r="AB41" s="4">
        <f>IF(AA41="Not at all",0,IF(AA41="Several days",1,IF(AA41="More than half the days",2,3)))</f>
        <v>0</v>
      </c>
      <c r="AC41" s="4">
        <f>SUM(Form_Responses[[#This Row],[Score]],Form_Responses[[#This Row],[Score2]],Form_Responses[[#This Row],[Score3]],Form_Responses[[#This Row],[Score4]],Form_Responses[[#This Row],[Score5]],Form_Responses[[#This Row],[Score6]],Form_Responses[[#This Row],[Score7]],Form_Responses[[#This Row],[Score8]],Form_Responses[[#This Row],[Score9]])</f>
        <v>0</v>
      </c>
      <c r="AD41" s="4" t="str">
        <f>IF(Form_Responses[[#This Row],[Depression Score ]]&lt;=4,"Minimal symptoms",IF(Form_Responses[[#This Row],[Depression Score ]]&lt;=9,"Mild Depression",IF(Form_Responses[[#This Row],[Depression Score ]]&lt;=14,"Moderate depression",IF(Form_Responses[[#This Row],[Depression Score ]]&lt;=19,"Moderately severe depression","Severe depression"))))</f>
        <v xml:space="preserve">Minimal symptoms</v>
      </c>
      <c r="AE41" s="3" t="s">
        <v>85</v>
      </c>
      <c r="AF41" s="4">
        <f>IF(AE41="Not at all",0,IF(AE41="Several days",1,IF(AE41="More than half the days",2,3)))</f>
        <v>0</v>
      </c>
      <c r="AG41" s="3" t="s">
        <v>85</v>
      </c>
      <c r="AH41" s="4">
        <f>IF(AG41="Not at all",0,IF(AG41="Several days",1,IF(AG41="More than half the days",2,3)))</f>
        <v>0</v>
      </c>
      <c r="AI41" s="3" t="s">
        <v>85</v>
      </c>
      <c r="AJ41" s="4">
        <f>IF(AI41="Not at all",0,IF(AI41="Several days",1,IF(AI41="More than half the days",2,3)))</f>
        <v>0</v>
      </c>
      <c r="AK41" s="3" t="s">
        <v>85</v>
      </c>
      <c r="AL41" s="4">
        <f>IF(AK41="Not at all",0,IF(AK41="Several days",1,IF(AK41="More than half the days",2,3)))</f>
        <v>0</v>
      </c>
      <c r="AM41" s="3" t="s">
        <v>85</v>
      </c>
      <c r="AN41" s="4">
        <f>IF(AM41="Not at all",0,IF(AM41="Several days",1,IF(AM41="More than half the days",2,3)))</f>
        <v>0</v>
      </c>
      <c r="AO41" s="3" t="s">
        <v>85</v>
      </c>
      <c r="AP41" s="4">
        <f>IF(AO41="Not at all",0,IF(AO41="Several days",1,IF(AO41="More than half the days",2,3)))</f>
        <v>0</v>
      </c>
      <c r="AQ41" s="3" t="s">
        <v>85</v>
      </c>
      <c r="AR41" s="4">
        <f>IF(AQ41="Not at all",0,IF(AQ41="Several days",1,IF(AQ41="More than half the days",2,3)))</f>
        <v>0</v>
      </c>
      <c r="AS41" s="4">
        <f>SUM(Form_Responses[[#This Row],[Score16]],Form_Responses[[#This Row],[Score10]],Form_Responses[[#This Row],[Score11]],Form_Responses[[#This Row],[Score12]],Form_Responses[[#This Row],[Score13]],Form_Responses[[#This Row],[Score14]],Form_Responses[[#This Row],[Score15]])</f>
        <v>0</v>
      </c>
      <c r="AT41" s="4" t="str">
        <f>IF(Form_Responses[[#This Row],[Anxiety Score]]&lt;=4,"Minimal anxiety",IF(Form_Responses[[#This Row],[Anxiety Score]]&lt;=9,"Mild anxiety",IF(Form_Responses[[#This Row],[Anxiety Score]]&lt;=14,"Moderate anxiety","Severe anxiety")))</f>
        <v xml:space="preserve">Minimal anxiety</v>
      </c>
      <c r="AU41" s="3" t="s">
        <v>124</v>
      </c>
      <c r="AV41" s="4">
        <f>IF(Form_Responses[[#This Row],[1. In the last month, how often have you been upset because of unexpected situations related to academics, finances, or personal life?]]="Never",0,IF(Form_Responses[[#This Row],[1. In the last month, how often have you been upset because of unexpected situations related to academics, finances, or personal life?]]="Almost never",1,IF(Form_Responses[[#This Row],[1. In the last month, how often have you been upset because of unexpected situations related to academics, finances, or personal life?]]="Sometimes",2,IF(Form_Responses[[#This Row],[1. In the last month, how often have you been upset because of unexpected situations related to academics, finances, or personal life?]]="Fairly often",3,4))))</f>
        <v>0</v>
      </c>
      <c r="AW41" s="3" t="s">
        <v>124</v>
      </c>
      <c r="AX41" s="5">
        <f>IF(Form_Responses[[#This Row],[2. In the last month, how often have you felt unable to control important things in your academic or personal life?]]="Never",0,IF(Form_Responses[[#This Row],[2. In the last month, how often have you felt unable to control important things in your academic or personal life?]]="Almost never",1,IF(Form_Responses[[#This Row],[2. In the last month, how often have you felt unable to control important things in your academic or personal life?]]="Sometimes",2,IF(Form_Responses[[#This Row],[2. In the last month, how often have you felt unable to control important things in your academic or personal life?]]="Fairly often",3,4))))</f>
        <v>0</v>
      </c>
      <c r="AY41" s="3" t="s">
        <v>124</v>
      </c>
      <c r="AZ41" s="4">
        <f>IF(Form_Responses[[#This Row],[3. In the last month, how often have you felt nervous or stressed because of university responsibilities or personal challenges?]]="Never",0,IF(Form_Responses[[#This Row],[3. In the last month, how often have you felt nervous or stressed because of university responsibilities or personal challenges?]]="Almost never",1,IF(Form_Responses[[#This Row],[3. In the last month, how often have you felt nervous or stressed because of university responsibilities or personal challenges?]]="Sometimes",2,IF(Form_Responses[[#This Row],[3. In the last month, how often have you felt nervous or stressed because of university responsibilities or personal challenges?]]="Fairly often",3,4))))</f>
        <v>0</v>
      </c>
      <c r="BA41" s="3" t="s">
        <v>89</v>
      </c>
      <c r="BB41" s="4">
        <f>IF(Form_Responses[[#This Row],[4. In the last month, how often have you felt confident about your ability to handle academic or personal problems?]]="Never",4,IF(Form_Responses[[#This Row],[4. In the last month, how often have you felt confident about your ability to handle academic or personal problems?]]="Almost never",3,IF(Form_Responses[[#This Row],[4. In the last month, how often have you felt confident about your ability to handle academic or personal problems?]]="Sometimes",2,IF(Form_Responses[[#This Row],[4. In the last month, how often have you felt confident about your ability to handle academic or personal problems?]]="Fairly often",1,0))))</f>
        <v>2</v>
      </c>
      <c r="BC41" s="3" t="s">
        <v>89</v>
      </c>
      <c r="BD41" s="4">
        <f>IF(Form_Responses[[#This Row],[5. In the last month, how often have you felt that things were going well in your studies or personal life?]]="Never",4,IF(Form_Responses[[#This Row],[5. In the last month, how often have you felt that things were going well in your studies or personal life?]]="Almost never",3,IF(Form_Responses[[#This Row],[5. In the last month, how often have you felt that things were going well in your studies or personal life?]]="Sometimes",2,IF(Form_Responses[[#This Row],[5. In the last month, how often have you felt that things were going well in your studies or personal life?]]="Fairly often",1,0))))</f>
        <v>2</v>
      </c>
      <c r="BE41" s="3" t="s">
        <v>89</v>
      </c>
      <c r="BF41" s="4">
        <f>IF(Form_Responses[[#This Row],[6. In the last month, how often have you felt unable to cope with coursework, deadlines, or daily responsibilities?]]="Never",0,IF(Form_Responses[[#This Row],[6. In the last month, how often have you felt unable to cope with coursework, deadlines, or daily responsibilities?]]="Almost never",1,IF(Form_Responses[[#This Row],[6. In the last month, how often have you felt unable to cope with coursework, deadlines, or daily responsibilities?]]="Sometimes",2,IF(Form_Responses[[#This Row],[6. In the last month, how often have you felt unable to cope with coursework, deadlines, or daily responsibilities?]]="Fairly often",3,4))))</f>
        <v>2</v>
      </c>
      <c r="BG41" s="3" t="s">
        <v>89</v>
      </c>
      <c r="BH41" s="4">
        <f>IF(Form_Responses[[#This Row],[7. In the last month, how often have you been able to control irritations or frustrations in your life?]]="Never",4,IF(Form_Responses[[#This Row],[7. In the last month, how often have you been able to control irritations or frustrations in your life?]]="Almost never",3,IF(Form_Responses[[#This Row],[7. In the last month, how often have you been able to control irritations or frustrations in your life?]]="Sometimes",2,IF(Form_Responses[[#This Row],[7. In the last month, how often have you been able to control irritations or frustrations in your life?]]="Fairly often",1,0))))</f>
        <v>2</v>
      </c>
      <c r="BI41" s="3" t="s">
        <v>89</v>
      </c>
      <c r="BJ41" s="4">
        <f>IF(Form_Responses[[#This Row],[8. In the last month, how often have you felt that you were managing your academic and personal responsibilities well?]]="Never",4,IF(Form_Responses[[#This Row],[8. In the last month, how often have you felt that you were managing your academic and personal responsibilities well?]]="Almost never",3,IF(Form_Responses[[#This Row],[8. In the last month, how often have you felt that you were managing your academic and personal responsibilities well?]]="Sometimes",2,IF(Form_Responses[[#This Row],[8. In the last month, how often have you felt that you were managing your academic and personal responsibilities well?]]="Fairly often",1,0))))</f>
        <v>2</v>
      </c>
      <c r="BK41" s="3" t="s">
        <v>89</v>
      </c>
      <c r="BL41" s="5">
        <f>IF(Form_Responses[[#This Row],[9. In the last month, how often have you been angered or frustrated by situations outside your control, such as finances, academics, or relationships?]]="Never",0,IF(Form_Responses[[#This Row],[9. In the last month, how often have you been angered or frustrated by situations outside your control, such as finances, academics, or relationships?]]="Almost never",1,IF(Form_Responses[[#This Row],[9. In the last month, how often have you been angered or frustrated by situations outside your control, such as finances, academics, or relationships?]]="Sometimes",2,IF(Form_Responses[[#This Row],[9. In the last month, how often have you been angered or frustrated by situations outside your control, such as finances, academics, or relationships?]]="Fairly often",3,4))))</f>
        <v>2</v>
      </c>
      <c r="BM41" s="3" t="s">
        <v>89</v>
      </c>
      <c r="BN41" s="4">
        <f>IF(Form_Responses[[#This Row],[10. In the last month, how often have you felt that difficulties were piling up so much that you could not overcome them?]]="Never",0,IF(Form_Responses[[#This Row],[10. In the last month, how often have you felt that difficulties were piling up so much that you could not overcome them?]]="Almost never",1,IF(Form_Responses[[#This Row],[10. In the last month, how often have you felt that difficulties were piling up so much that you could not overcome them?]]="Sometimes",2,IF(Form_Responses[[#This Row],[10. In the last month, how often have you felt that difficulties were piling up so much that you could not overcome them?]]="Fairly often",3,4))))</f>
        <v>2</v>
      </c>
      <c r="BO41" s="4">
        <f>SUM(Form_Responses[[#This Row],[Score17]],Form_Responses[[#This Row],[Score18]],Form_Responses[[#This Row],[Score19]],Form_Responses[[#This Row],[Score20]],Form_Responses[[#This Row],[Score21]],Form_Responses[[#This Row],[Score22]],Form_Responses[[#This Row],[Score23]],Form_Responses[[#This Row],[Score24]],Form_Responses[[#This Row],[Score25]],Form_Responses[[#This Row],[Score26]])</f>
        <v>14</v>
      </c>
      <c r="BP41" s="4" t="str">
        <f>IF(Form_Responses[[#This Row],[Anxiety Score2]]&lt;=13,"Low stress",IF(Form_Responses[[#This Row],[Anxiety Score2]]&lt;=26,"Moderate stress","High stress"))</f>
        <v xml:space="preserve">Moderate stress</v>
      </c>
      <c r="BQ41" s="3" t="s">
        <v>91</v>
      </c>
      <c r="BR41" s="3" t="s">
        <v>106</v>
      </c>
      <c r="BS41" s="3" t="s">
        <v>298</v>
      </c>
      <c r="BT41" s="3" t="s">
        <v>214</v>
      </c>
      <c r="BU41" s="3" t="s">
        <v>106</v>
      </c>
      <c r="BV41" s="3" t="s">
        <v>299</v>
      </c>
      <c r="BW41" s="3" t="s">
        <v>300</v>
      </c>
      <c r="BX41" s="3" t="s">
        <v>301</v>
      </c>
    </row>
    <row r="42" ht="22.5" customHeight="1">
      <c r="A42" s="2">
        <v>46198.745582974538</v>
      </c>
      <c r="B42" s="3" t="s">
        <v>76</v>
      </c>
      <c r="C42" s="3" t="s">
        <v>97</v>
      </c>
      <c r="D42" s="3" t="s">
        <v>78</v>
      </c>
      <c r="E42" s="3" t="s">
        <v>79</v>
      </c>
      <c r="F42" s="3" t="s">
        <v>130</v>
      </c>
      <c r="G42" s="3" t="s">
        <v>81</v>
      </c>
      <c r="H42" s="3" t="s">
        <v>101</v>
      </c>
      <c r="I42" s="3" t="s">
        <v>83</v>
      </c>
      <c r="J42" s="3" t="s">
        <v>103</v>
      </c>
      <c r="K42" s="3" t="s">
        <v>142</v>
      </c>
      <c r="L42" s="4">
        <f>IF(K42="Not at all",0,IF(K42="Several days",1,IF(K42="More than half the days",2,3)))</f>
        <v>3</v>
      </c>
      <c r="M42" s="3" t="s">
        <v>86</v>
      </c>
      <c r="N42" s="4">
        <f>IF(M42="Not at all",0,IF(M42="Several days",1,IF(M42="More than half the days",2,3)))</f>
        <v>1</v>
      </c>
      <c r="O42" s="3" t="s">
        <v>104</v>
      </c>
      <c r="P42" s="5">
        <f>IF(O42="Not at all",0,IF(O42="Several days",1,IF(O42="More than half the days",2,3)))</f>
        <v>3</v>
      </c>
      <c r="Q42" s="3" t="s">
        <v>104</v>
      </c>
      <c r="R42" s="4">
        <f>IF(Q42="Not at all",0,IF(Q42="Several days",1,IF(Q42="More than half the days",2,3)))</f>
        <v>3</v>
      </c>
      <c r="S42" s="3" t="s">
        <v>87</v>
      </c>
      <c r="T42" s="4">
        <f>IF(S42="Not at all",0,IF(S42="Several days",1,IF(S42="More than half the days",2,3)))</f>
        <v>2</v>
      </c>
      <c r="U42" s="3" t="s">
        <v>86</v>
      </c>
      <c r="V42" s="4">
        <f>IF(U42="Not at all",0,IF(U42="Several days",1,IF(U42="More than half the days",2,3)))</f>
        <v>1</v>
      </c>
      <c r="W42" s="3" t="s">
        <v>104</v>
      </c>
      <c r="X42" s="4">
        <f>IF(W42="Not at all",0,IF(W42="Several days",1,IF(W42="More than half the days",2,3)))</f>
        <v>3</v>
      </c>
      <c r="Y42" s="3" t="s">
        <v>104</v>
      </c>
      <c r="Z42" s="4">
        <f>IF(Y42="Not at all",0,IF(Y42="Several days",1,IF(Y42="More than half the days",2,3)))</f>
        <v>3</v>
      </c>
      <c r="AA42" s="3" t="s">
        <v>85</v>
      </c>
      <c r="AB42" s="4">
        <f>IF(AA42="Not at all",0,IF(AA42="Several days",1,IF(AA42="More than half the days",2,3)))</f>
        <v>0</v>
      </c>
      <c r="AC42" s="4">
        <f>SUM(Form_Responses[[#This Row],[Score]],Form_Responses[[#This Row],[Score2]],Form_Responses[[#This Row],[Score3]],Form_Responses[[#This Row],[Score4]],Form_Responses[[#This Row],[Score5]],Form_Responses[[#This Row],[Score6]],Form_Responses[[#This Row],[Score7]],Form_Responses[[#This Row],[Score8]],Form_Responses[[#This Row],[Score9]])</f>
        <v>19</v>
      </c>
      <c r="AD42" s="4" t="str">
        <f>IF(Form_Responses[[#This Row],[Depression Score ]]&lt;=4,"Minimal symptoms",IF(Form_Responses[[#This Row],[Depression Score ]]&lt;=9,"Mild Depression",IF(Form_Responses[[#This Row],[Depression Score ]]&lt;=14,"Moderate depression",IF(Form_Responses[[#This Row],[Depression Score ]]&lt;=19,"Moderately severe depression","Severe depression"))))</f>
        <v xml:space="preserve">Moderately severe depression</v>
      </c>
      <c r="AE42" s="3" t="s">
        <v>87</v>
      </c>
      <c r="AF42" s="4">
        <f>IF(AE42="Not at all",0,IF(AE42="Several days",1,IF(AE42="More than half the days",2,3)))</f>
        <v>2</v>
      </c>
      <c r="AG42" s="3" t="s">
        <v>86</v>
      </c>
      <c r="AH42" s="4">
        <f>IF(AG42="Not at all",0,IF(AG42="Several days",1,IF(AG42="More than half the days",2,3)))</f>
        <v>1</v>
      </c>
      <c r="AI42" s="3" t="s">
        <v>104</v>
      </c>
      <c r="AJ42" s="4">
        <f>IF(AI42="Not at all",0,IF(AI42="Several days",1,IF(AI42="More than half the days",2,3)))</f>
        <v>3</v>
      </c>
      <c r="AK42" s="3" t="s">
        <v>87</v>
      </c>
      <c r="AL42" s="4">
        <f>IF(AK42="Not at all",0,IF(AK42="Several days",1,IF(AK42="More than half the days",2,3)))</f>
        <v>2</v>
      </c>
      <c r="AM42" s="3" t="s">
        <v>86</v>
      </c>
      <c r="AN42" s="4">
        <f>IF(AM42="Not at all",0,IF(AM42="Several days",1,IF(AM42="More than half the days",2,3)))</f>
        <v>1</v>
      </c>
      <c r="AO42" s="3" t="s">
        <v>104</v>
      </c>
      <c r="AP42" s="4">
        <f>IF(AO42="Not at all",0,IF(AO42="Several days",1,IF(AO42="More than half the days",2,3)))</f>
        <v>3</v>
      </c>
      <c r="AQ42" s="3" t="s">
        <v>104</v>
      </c>
      <c r="AR42" s="4">
        <f>IF(AQ42="Not at all",0,IF(AQ42="Several days",1,IF(AQ42="More than half the days",2,3)))</f>
        <v>3</v>
      </c>
      <c r="AS42" s="4">
        <f>SUM(Form_Responses[[#This Row],[Score16]],Form_Responses[[#This Row],[Score10]],Form_Responses[[#This Row],[Score11]],Form_Responses[[#This Row],[Score12]],Form_Responses[[#This Row],[Score13]],Form_Responses[[#This Row],[Score14]],Form_Responses[[#This Row],[Score15]])</f>
        <v>15</v>
      </c>
      <c r="AT42" s="4" t="str">
        <f>IF(Form_Responses[[#This Row],[Anxiety Score]]&lt;=4,"Minimal anxiety",IF(Form_Responses[[#This Row],[Anxiety Score]]&lt;=9,"Mild anxiety",IF(Form_Responses[[#This Row],[Anxiety Score]]&lt;=14,"Moderate anxiety","Severe anxiety")))</f>
        <v xml:space="preserve">Severe anxiety</v>
      </c>
      <c r="AU42" s="3" t="s">
        <v>105</v>
      </c>
      <c r="AV42" s="4">
        <f>IF(Form_Responses[[#This Row],[1. In the last month, how often have you been upset because of unexpected situations related to academics, finances, or personal life?]]="Never",0,IF(Form_Responses[[#This Row],[1. In the last month, how often have you been upset because of unexpected situations related to academics, finances, or personal life?]]="Almost never",1,IF(Form_Responses[[#This Row],[1. In the last month, how often have you been upset because of unexpected situations related to academics, finances, or personal life?]]="Sometimes",2,IF(Form_Responses[[#This Row],[1. In the last month, how often have you been upset because of unexpected situations related to academics, finances, or personal life?]]="Fairly often",3,4))))</f>
        <v>4</v>
      </c>
      <c r="AW42" s="3" t="s">
        <v>88</v>
      </c>
      <c r="AX42" s="5">
        <f>IF(Form_Responses[[#This Row],[2. In the last month, how often have you felt unable to control important things in your academic or personal life?]]="Never",0,IF(Form_Responses[[#This Row],[2. In the last month, how often have you felt unable to control important things in your academic or personal life?]]="Almost never",1,IF(Form_Responses[[#This Row],[2. In the last month, how often have you felt unable to control important things in your academic or personal life?]]="Sometimes",2,IF(Form_Responses[[#This Row],[2. In the last month, how often have you felt unable to control important things in your academic or personal life?]]="Fairly often",3,4))))</f>
        <v>3</v>
      </c>
      <c r="AY42" s="3" t="s">
        <v>105</v>
      </c>
      <c r="AZ42" s="4">
        <f>IF(Form_Responses[[#This Row],[3. In the last month, how often have you felt nervous or stressed because of university responsibilities or personal challenges?]]="Never",0,IF(Form_Responses[[#This Row],[3. In the last month, how often have you felt nervous or stressed because of university responsibilities or personal challenges?]]="Almost never",1,IF(Form_Responses[[#This Row],[3. In the last month, how often have you felt nervous or stressed because of university responsibilities or personal challenges?]]="Sometimes",2,IF(Form_Responses[[#This Row],[3. In the last month, how often have you felt nervous or stressed because of university responsibilities or personal challenges?]]="Fairly often",3,4))))</f>
        <v>4</v>
      </c>
      <c r="BA42" s="3" t="s">
        <v>90</v>
      </c>
      <c r="BB42" s="4">
        <f>IF(Form_Responses[[#This Row],[4. In the last month, how often have you felt confident about your ability to handle academic or personal problems?]]="Never",4,IF(Form_Responses[[#This Row],[4. In the last month, how often have you felt confident about your ability to handle academic or personal problems?]]="Almost never",3,IF(Form_Responses[[#This Row],[4. In the last month, how often have you felt confident about your ability to handle academic or personal problems?]]="Sometimes",2,IF(Form_Responses[[#This Row],[4. In the last month, how often have you felt confident about your ability to handle academic or personal problems?]]="Fairly often",1,0))))</f>
        <v>3</v>
      </c>
      <c r="BC42" s="3" t="s">
        <v>89</v>
      </c>
      <c r="BD42" s="4">
        <f>IF(Form_Responses[[#This Row],[5. In the last month, how often have you felt that things were going well in your studies or personal life?]]="Never",4,IF(Form_Responses[[#This Row],[5. In the last month, how often have you felt that things were going well in your studies or personal life?]]="Almost never",3,IF(Form_Responses[[#This Row],[5. In the last month, how often have you felt that things were going well in your studies or personal life?]]="Sometimes",2,IF(Form_Responses[[#This Row],[5. In the last month, how often have you felt that things were going well in your studies or personal life?]]="Fairly often",1,0))))</f>
        <v>2</v>
      </c>
      <c r="BE42" s="3" t="s">
        <v>105</v>
      </c>
      <c r="BF42" s="4">
        <f>IF(Form_Responses[[#This Row],[6. In the last month, how often have you felt unable to cope with coursework, deadlines, or daily responsibilities?]]="Never",0,IF(Form_Responses[[#This Row],[6. In the last month, how often have you felt unable to cope with coursework, deadlines, or daily responsibilities?]]="Almost never",1,IF(Form_Responses[[#This Row],[6. In the last month, how often have you felt unable to cope with coursework, deadlines, or daily responsibilities?]]="Sometimes",2,IF(Form_Responses[[#This Row],[6. In the last month, how often have you felt unable to cope with coursework, deadlines, or daily responsibilities?]]="Fairly often",3,4))))</f>
        <v>4</v>
      </c>
      <c r="BG42" s="3" t="s">
        <v>88</v>
      </c>
      <c r="BH42" s="4">
        <f>IF(Form_Responses[[#This Row],[7. In the last month, how often have you been able to control irritations or frustrations in your life?]]="Never",4,IF(Form_Responses[[#This Row],[7. In the last month, how often have you been able to control irritations or frustrations in your life?]]="Almost never",3,IF(Form_Responses[[#This Row],[7. In the last month, how often have you been able to control irritations or frustrations in your life?]]="Sometimes",2,IF(Form_Responses[[#This Row],[7. In the last month, how often have you been able to control irritations or frustrations in your life?]]="Fairly often",1,0))))</f>
        <v>1</v>
      </c>
      <c r="BI42" s="3" t="s">
        <v>89</v>
      </c>
      <c r="BJ42" s="4">
        <f>IF(Form_Responses[[#This Row],[8. In the last month, how often have you felt that you were managing your academic and personal responsibilities well?]]="Never",4,IF(Form_Responses[[#This Row],[8. In the last month, how often have you felt that you were managing your academic and personal responsibilities well?]]="Almost never",3,IF(Form_Responses[[#This Row],[8. In the last month, how often have you felt that you were managing your academic and personal responsibilities well?]]="Sometimes",2,IF(Form_Responses[[#This Row],[8. In the last month, how often have you felt that you were managing your academic and personal responsibilities well?]]="Fairly often",1,0))))</f>
        <v>2</v>
      </c>
      <c r="BK42" s="3" t="s">
        <v>105</v>
      </c>
      <c r="BL42" s="5">
        <f>IF(Form_Responses[[#This Row],[9. In the last month, how often have you been angered or frustrated by situations outside your control, such as finances, academics, or relationships?]]="Never",0,IF(Form_Responses[[#This Row],[9. In the last month, how often have you been angered or frustrated by situations outside your control, such as finances, academics, or relationships?]]="Almost never",1,IF(Form_Responses[[#This Row],[9. In the last month, how often have you been angered or frustrated by situations outside your control, such as finances, academics, or relationships?]]="Sometimes",2,IF(Form_Responses[[#This Row],[9. In the last month, how often have you been angered or frustrated by situations outside your control, such as finances, academics, or relationships?]]="Fairly often",3,4))))</f>
        <v>4</v>
      </c>
      <c r="BM42" s="3" t="s">
        <v>105</v>
      </c>
      <c r="BN42" s="4">
        <f>IF(Form_Responses[[#This Row],[10. In the last month, how often have you felt that difficulties were piling up so much that you could not overcome them?]]="Never",0,IF(Form_Responses[[#This Row],[10. In the last month, how often have you felt that difficulties were piling up so much that you could not overcome them?]]="Almost never",1,IF(Form_Responses[[#This Row],[10. In the last month, how often have you felt that difficulties were piling up so much that you could not overcome them?]]="Sometimes",2,IF(Form_Responses[[#This Row],[10. In the last month, how often have you felt that difficulties were piling up so much that you could not overcome them?]]="Fairly often",3,4))))</f>
        <v>4</v>
      </c>
      <c r="BO42" s="4">
        <f>SUM(Form_Responses[[#This Row],[Score17]],Form_Responses[[#This Row],[Score18]],Form_Responses[[#This Row],[Score19]],Form_Responses[[#This Row],[Score20]],Form_Responses[[#This Row],[Score21]],Form_Responses[[#This Row],[Score22]],Form_Responses[[#This Row],[Score23]],Form_Responses[[#This Row],[Score24]],Form_Responses[[#This Row],[Score25]],Form_Responses[[#This Row],[Score26]])</f>
        <v>31</v>
      </c>
      <c r="BP42" s="4" t="str">
        <f>IF(Form_Responses[[#This Row],[Anxiety Score2]]&lt;=13,"Low stress",IF(Form_Responses[[#This Row],[Anxiety Score2]]&lt;=26,"Moderate stress","High stress"))</f>
        <v xml:space="preserve">High stress</v>
      </c>
      <c r="BQ42" s="3" t="s">
        <v>91</v>
      </c>
      <c r="BR42" s="3" t="s">
        <v>76</v>
      </c>
      <c r="BS42" s="3" t="s">
        <v>302</v>
      </c>
      <c r="BT42" s="3" t="s">
        <v>93</v>
      </c>
      <c r="BU42" s="3" t="s">
        <v>76</v>
      </c>
      <c r="BV42" s="3" t="s">
        <v>303</v>
      </c>
      <c r="BW42" s="3" t="s">
        <v>304</v>
      </c>
      <c r="BX42" s="3" t="s">
        <v>305</v>
      </c>
    </row>
    <row r="43" ht="22.5" customHeight="1">
      <c r="A43" s="2">
        <v>46198.770052337961</v>
      </c>
      <c r="B43" s="3" t="s">
        <v>76</v>
      </c>
      <c r="C43" s="3" t="s">
        <v>154</v>
      </c>
      <c r="D43" s="3" t="s">
        <v>78</v>
      </c>
      <c r="E43" s="3" t="s">
        <v>79</v>
      </c>
      <c r="F43" s="3" t="s">
        <v>130</v>
      </c>
      <c r="G43" s="3" t="s">
        <v>81</v>
      </c>
      <c r="H43" s="3" t="s">
        <v>101</v>
      </c>
      <c r="I43" s="3" t="s">
        <v>83</v>
      </c>
      <c r="J43" s="3" t="s">
        <v>84</v>
      </c>
      <c r="K43" s="3" t="s">
        <v>85</v>
      </c>
      <c r="L43" s="4">
        <f>IF(K43="Not at all",0,IF(K43="Several days",1,IF(K43="More than half the days",2,3)))</f>
        <v>0</v>
      </c>
      <c r="M43" s="3" t="s">
        <v>86</v>
      </c>
      <c r="N43" s="4">
        <f>IF(M43="Not at all",0,IF(M43="Several days",1,IF(M43="More than half the days",2,3)))</f>
        <v>1</v>
      </c>
      <c r="O43" s="3" t="s">
        <v>104</v>
      </c>
      <c r="P43" s="5">
        <f>IF(O43="Not at all",0,IF(O43="Several days",1,IF(O43="More than half the days",2,3)))</f>
        <v>3</v>
      </c>
      <c r="Q43" s="3" t="s">
        <v>86</v>
      </c>
      <c r="R43" s="4">
        <f>IF(Q43="Not at all",0,IF(Q43="Several days",1,IF(Q43="More than half the days",2,3)))</f>
        <v>1</v>
      </c>
      <c r="S43" s="3" t="s">
        <v>85</v>
      </c>
      <c r="T43" s="4">
        <f>IF(S43="Not at all",0,IF(S43="Several days",1,IF(S43="More than half the days",2,3)))</f>
        <v>0</v>
      </c>
      <c r="U43" s="3" t="s">
        <v>87</v>
      </c>
      <c r="V43" s="4">
        <f>IF(U43="Not at all",0,IF(U43="Several days",1,IF(U43="More than half the days",2,3)))</f>
        <v>2</v>
      </c>
      <c r="W43" s="3" t="s">
        <v>86</v>
      </c>
      <c r="X43" s="4">
        <f>IF(W43="Not at all",0,IF(W43="Several days",1,IF(W43="More than half the days",2,3)))</f>
        <v>1</v>
      </c>
      <c r="Y43" s="3" t="s">
        <v>86</v>
      </c>
      <c r="Z43" s="4">
        <f>IF(Y43="Not at all",0,IF(Y43="Several days",1,IF(Y43="More than half the days",2,3)))</f>
        <v>1</v>
      </c>
      <c r="AA43" s="3" t="s">
        <v>85</v>
      </c>
      <c r="AB43" s="4">
        <f>IF(AA43="Not at all",0,IF(AA43="Several days",1,IF(AA43="More than half the days",2,3)))</f>
        <v>0</v>
      </c>
      <c r="AC43" s="4">
        <f>SUM(Form_Responses[[#This Row],[Score]],Form_Responses[[#This Row],[Score2]],Form_Responses[[#This Row],[Score3]],Form_Responses[[#This Row],[Score4]],Form_Responses[[#This Row],[Score5]],Form_Responses[[#This Row],[Score6]],Form_Responses[[#This Row],[Score7]],Form_Responses[[#This Row],[Score8]],Form_Responses[[#This Row],[Score9]])</f>
        <v>9</v>
      </c>
      <c r="AD43" s="4" t="str">
        <f>IF(Form_Responses[[#This Row],[Depression Score ]]&lt;=4,"Minimal symptoms",IF(Form_Responses[[#This Row],[Depression Score ]]&lt;=9,"Mild Depression",IF(Form_Responses[[#This Row],[Depression Score ]]&lt;=14,"Moderate depression",IF(Form_Responses[[#This Row],[Depression Score ]]&lt;=19,"Moderately severe depression","Severe depression"))))</f>
        <v xml:space="preserve">Mild Depression</v>
      </c>
      <c r="AE43" s="3" t="s">
        <v>86</v>
      </c>
      <c r="AF43" s="4">
        <f>IF(AE43="Not at all",0,IF(AE43="Several days",1,IF(AE43="More than half the days",2,3)))</f>
        <v>1</v>
      </c>
      <c r="AG43" s="3" t="s">
        <v>86</v>
      </c>
      <c r="AH43" s="4">
        <f>IF(AG43="Not at all",0,IF(AG43="Several days",1,IF(AG43="More than half the days",2,3)))</f>
        <v>1</v>
      </c>
      <c r="AI43" s="3" t="s">
        <v>86</v>
      </c>
      <c r="AJ43" s="4">
        <f>IF(AI43="Not at all",0,IF(AI43="Several days",1,IF(AI43="More than half the days",2,3)))</f>
        <v>1</v>
      </c>
      <c r="AK43" s="3" t="s">
        <v>86</v>
      </c>
      <c r="AL43" s="4">
        <f>IF(AK43="Not at all",0,IF(AK43="Several days",1,IF(AK43="More than half the days",2,3)))</f>
        <v>1</v>
      </c>
      <c r="AM43" s="3" t="s">
        <v>85</v>
      </c>
      <c r="AN43" s="4">
        <f>IF(AM43="Not at all",0,IF(AM43="Several days",1,IF(AM43="More than half the days",2,3)))</f>
        <v>0</v>
      </c>
      <c r="AO43" s="3" t="s">
        <v>86</v>
      </c>
      <c r="AP43" s="4">
        <f>IF(AO43="Not at all",0,IF(AO43="Several days",1,IF(AO43="More than half the days",2,3)))</f>
        <v>1</v>
      </c>
      <c r="AQ43" s="3" t="s">
        <v>86</v>
      </c>
      <c r="AR43" s="4">
        <f>IF(AQ43="Not at all",0,IF(AQ43="Several days",1,IF(AQ43="More than half the days",2,3)))</f>
        <v>1</v>
      </c>
      <c r="AS43" s="4">
        <f>SUM(Form_Responses[[#This Row],[Score16]],Form_Responses[[#This Row],[Score10]],Form_Responses[[#This Row],[Score11]],Form_Responses[[#This Row],[Score12]],Form_Responses[[#This Row],[Score13]],Form_Responses[[#This Row],[Score14]],Form_Responses[[#This Row],[Score15]])</f>
        <v>6</v>
      </c>
      <c r="AT43" s="4" t="str">
        <f>IF(Form_Responses[[#This Row],[Anxiety Score]]&lt;=4,"Minimal anxiety",IF(Form_Responses[[#This Row],[Anxiety Score]]&lt;=9,"Mild anxiety",IF(Form_Responses[[#This Row],[Anxiety Score]]&lt;=14,"Moderate anxiety","Severe anxiety")))</f>
        <v xml:space="preserve">Mild anxiety</v>
      </c>
      <c r="AU43" s="3" t="s">
        <v>89</v>
      </c>
      <c r="AV43" s="4">
        <f>IF(Form_Responses[[#This Row],[1. In the last month, how often have you been upset because of unexpected situations related to academics, finances, or personal life?]]="Never",0,IF(Form_Responses[[#This Row],[1. In the last month, how often have you been upset because of unexpected situations related to academics, finances, or personal life?]]="Almost never",1,IF(Form_Responses[[#This Row],[1. In the last month, how often have you been upset because of unexpected situations related to academics, finances, or personal life?]]="Sometimes",2,IF(Form_Responses[[#This Row],[1. In the last month, how often have you been upset because of unexpected situations related to academics, finances, or personal life?]]="Fairly often",3,4))))</f>
        <v>2</v>
      </c>
      <c r="AW43" s="3" t="s">
        <v>89</v>
      </c>
      <c r="AX43" s="5">
        <f>IF(Form_Responses[[#This Row],[2. In the last month, how often have you felt unable to control important things in your academic or personal life?]]="Never",0,IF(Form_Responses[[#This Row],[2. In the last month, how often have you felt unable to control important things in your academic or personal life?]]="Almost never",1,IF(Form_Responses[[#This Row],[2. In the last month, how often have you felt unable to control important things in your academic or personal life?]]="Sometimes",2,IF(Form_Responses[[#This Row],[2. In the last month, how often have you felt unable to control important things in your academic or personal life?]]="Fairly often",3,4))))</f>
        <v>2</v>
      </c>
      <c r="AY43" s="3" t="s">
        <v>89</v>
      </c>
      <c r="AZ43" s="4">
        <f>IF(Form_Responses[[#This Row],[3. In the last month, how often have you felt nervous or stressed because of university responsibilities or personal challenges?]]="Never",0,IF(Form_Responses[[#This Row],[3. In the last month, how often have you felt nervous or stressed because of university responsibilities or personal challenges?]]="Almost never",1,IF(Form_Responses[[#This Row],[3. In the last month, how often have you felt nervous or stressed because of university responsibilities or personal challenges?]]="Sometimes",2,IF(Form_Responses[[#This Row],[3. In the last month, how often have you felt nervous or stressed because of university responsibilities or personal challenges?]]="Fairly often",3,4))))</f>
        <v>2</v>
      </c>
      <c r="BA43" s="3" t="s">
        <v>88</v>
      </c>
      <c r="BB43" s="4">
        <f>IF(Form_Responses[[#This Row],[4. In the last month, how often have you felt confident about your ability to handle academic or personal problems?]]="Never",4,IF(Form_Responses[[#This Row],[4. In the last month, how often have you felt confident about your ability to handle academic or personal problems?]]="Almost never",3,IF(Form_Responses[[#This Row],[4. In the last month, how often have you felt confident about your ability to handle academic or personal problems?]]="Sometimes",2,IF(Form_Responses[[#This Row],[4. In the last month, how often have you felt confident about your ability to handle academic or personal problems?]]="Fairly often",1,0))))</f>
        <v>1</v>
      </c>
      <c r="BC43" s="3" t="s">
        <v>89</v>
      </c>
      <c r="BD43" s="4">
        <f>IF(Form_Responses[[#This Row],[5. In the last month, how often have you felt that things were going well in your studies or personal life?]]="Never",4,IF(Form_Responses[[#This Row],[5. In the last month, how often have you felt that things were going well in your studies or personal life?]]="Almost never",3,IF(Form_Responses[[#This Row],[5. In the last month, how often have you felt that things were going well in your studies or personal life?]]="Sometimes",2,IF(Form_Responses[[#This Row],[5. In the last month, how often have you felt that things were going well in your studies or personal life?]]="Fairly often",1,0))))</f>
        <v>2</v>
      </c>
      <c r="BE43" s="3" t="s">
        <v>89</v>
      </c>
      <c r="BF43" s="4">
        <f>IF(Form_Responses[[#This Row],[6. In the last month, how often have you felt unable to cope with coursework, deadlines, or daily responsibilities?]]="Never",0,IF(Form_Responses[[#This Row],[6. In the last month, how often have you felt unable to cope with coursework, deadlines, or daily responsibilities?]]="Almost never",1,IF(Form_Responses[[#This Row],[6. In the last month, how often have you felt unable to cope with coursework, deadlines, or daily responsibilities?]]="Sometimes",2,IF(Form_Responses[[#This Row],[6. In the last month, how often have you felt unable to cope with coursework, deadlines, or daily responsibilities?]]="Fairly often",3,4))))</f>
        <v>2</v>
      </c>
      <c r="BG43" s="3" t="s">
        <v>89</v>
      </c>
      <c r="BH43" s="4">
        <f>IF(Form_Responses[[#This Row],[7. In the last month, how often have you been able to control irritations or frustrations in your life?]]="Never",4,IF(Form_Responses[[#This Row],[7. In the last month, how often have you been able to control irritations or frustrations in your life?]]="Almost never",3,IF(Form_Responses[[#This Row],[7. In the last month, how often have you been able to control irritations or frustrations in your life?]]="Sometimes",2,IF(Form_Responses[[#This Row],[7. In the last month, how often have you been able to control irritations or frustrations in your life?]]="Fairly often",1,0))))</f>
        <v>2</v>
      </c>
      <c r="BI43" s="3" t="s">
        <v>89</v>
      </c>
      <c r="BJ43" s="4">
        <f>IF(Form_Responses[[#This Row],[8. In the last month, how often have you felt that you were managing your academic and personal responsibilities well?]]="Never",4,IF(Form_Responses[[#This Row],[8. In the last month, how often have you felt that you were managing your academic and personal responsibilities well?]]="Almost never",3,IF(Form_Responses[[#This Row],[8. In the last month, how often have you felt that you were managing your academic and personal responsibilities well?]]="Sometimes",2,IF(Form_Responses[[#This Row],[8. In the last month, how often have you felt that you were managing your academic and personal responsibilities well?]]="Fairly often",1,0))))</f>
        <v>2</v>
      </c>
      <c r="BK43" s="3" t="s">
        <v>89</v>
      </c>
      <c r="BL43" s="5">
        <f>IF(Form_Responses[[#This Row],[9. In the last month, how often have you been angered or frustrated by situations outside your control, such as finances, academics, or relationships?]]="Never",0,IF(Form_Responses[[#This Row],[9. In the last month, how often have you been angered or frustrated by situations outside your control, such as finances, academics, or relationships?]]="Almost never",1,IF(Form_Responses[[#This Row],[9. In the last month, how often have you been angered or frustrated by situations outside your control, such as finances, academics, or relationships?]]="Sometimes",2,IF(Form_Responses[[#This Row],[9. In the last month, how often have you been angered or frustrated by situations outside your control, such as finances, academics, or relationships?]]="Fairly often",3,4))))</f>
        <v>2</v>
      </c>
      <c r="BM43" s="3" t="s">
        <v>89</v>
      </c>
      <c r="BN43" s="4">
        <f>IF(Form_Responses[[#This Row],[10. In the last month, how often have you felt that difficulties were piling up so much that you could not overcome them?]]="Never",0,IF(Form_Responses[[#This Row],[10. In the last month, how often have you felt that difficulties were piling up so much that you could not overcome them?]]="Almost never",1,IF(Form_Responses[[#This Row],[10. In the last month, how often have you felt that difficulties were piling up so much that you could not overcome them?]]="Sometimes",2,IF(Form_Responses[[#This Row],[10. In the last month, how often have you felt that difficulties were piling up so much that you could not overcome them?]]="Fairly often",3,4))))</f>
        <v>2</v>
      </c>
      <c r="BO43" s="4">
        <f>SUM(Form_Responses[[#This Row],[Score17]],Form_Responses[[#This Row],[Score18]],Form_Responses[[#This Row],[Score19]],Form_Responses[[#This Row],[Score20]],Form_Responses[[#This Row],[Score21]],Form_Responses[[#This Row],[Score22]],Form_Responses[[#This Row],[Score23]],Form_Responses[[#This Row],[Score24]],Form_Responses[[#This Row],[Score25]],Form_Responses[[#This Row],[Score26]])</f>
        <v>19</v>
      </c>
      <c r="BP43" s="4" t="str">
        <f>IF(Form_Responses[[#This Row],[Anxiety Score2]]&lt;=13,"Low stress",IF(Form_Responses[[#This Row],[Anxiety Score2]]&lt;=26,"Moderate stress","High stress"))</f>
        <v xml:space="preserve">Moderate stress</v>
      </c>
      <c r="BQ43" s="3" t="s">
        <v>76</v>
      </c>
      <c r="BR43" s="3" t="s">
        <v>76</v>
      </c>
      <c r="BS43" s="3" t="s">
        <v>306</v>
      </c>
      <c r="BT43" s="3" t="s">
        <v>204</v>
      </c>
      <c r="BU43" s="3" t="s">
        <v>76</v>
      </c>
      <c r="BV43" s="3" t="s">
        <v>307</v>
      </c>
      <c r="BW43" s="3" t="s">
        <v>308</v>
      </c>
      <c r="BX43" s="3" t="s">
        <v>309</v>
      </c>
    </row>
    <row r="44" ht="22.5" customHeight="1">
      <c r="A44" s="2">
        <v>46198.826965995366</v>
      </c>
      <c r="B44" s="3" t="s">
        <v>76</v>
      </c>
      <c r="C44" s="3" t="s">
        <v>154</v>
      </c>
      <c r="D44" s="3" t="s">
        <v>112</v>
      </c>
      <c r="E44" s="3" t="s">
        <v>79</v>
      </c>
      <c r="F44" s="3" t="s">
        <v>310</v>
      </c>
      <c r="G44" s="3" t="s">
        <v>81</v>
      </c>
      <c r="H44" s="3" t="s">
        <v>101</v>
      </c>
      <c r="I44" s="3" t="s">
        <v>83</v>
      </c>
      <c r="J44" s="3" t="s">
        <v>160</v>
      </c>
      <c r="K44" s="3" t="s">
        <v>86</v>
      </c>
      <c r="L44" s="4">
        <f>IF(K44="Not at all",0,IF(K44="Several days",1,IF(K44="More than half the days",2,3)))</f>
        <v>1</v>
      </c>
      <c r="M44" s="3" t="s">
        <v>86</v>
      </c>
      <c r="N44" s="4">
        <f>IF(M44="Not at all",0,IF(M44="Several days",1,IF(M44="More than half the days",2,3)))</f>
        <v>1</v>
      </c>
      <c r="O44" s="3" t="s">
        <v>104</v>
      </c>
      <c r="P44" s="5">
        <f>IF(O44="Not at all",0,IF(O44="Several days",1,IF(O44="More than half the days",2,3)))</f>
        <v>3</v>
      </c>
      <c r="Q44" s="3" t="s">
        <v>87</v>
      </c>
      <c r="R44" s="4">
        <f>IF(Q44="Not at all",0,IF(Q44="Several days",1,IF(Q44="More than half the days",2,3)))</f>
        <v>2</v>
      </c>
      <c r="S44" s="3" t="s">
        <v>86</v>
      </c>
      <c r="T44" s="4">
        <f>IF(S44="Not at all",0,IF(S44="Several days",1,IF(S44="More than half the days",2,3)))</f>
        <v>1</v>
      </c>
      <c r="U44" s="3" t="s">
        <v>85</v>
      </c>
      <c r="V44" s="4">
        <f>IF(U44="Not at all",0,IF(U44="Several days",1,IF(U44="More than half the days",2,3)))</f>
        <v>0</v>
      </c>
      <c r="W44" s="3" t="s">
        <v>86</v>
      </c>
      <c r="X44" s="4">
        <f>IF(W44="Not at all",0,IF(W44="Several days",1,IF(W44="More than half the days",2,3)))</f>
        <v>1</v>
      </c>
      <c r="Y44" s="3" t="s">
        <v>86</v>
      </c>
      <c r="Z44" s="4">
        <f>IF(Y44="Not at all",0,IF(Y44="Several days",1,IF(Y44="More than half the days",2,3)))</f>
        <v>1</v>
      </c>
      <c r="AA44" s="3" t="s">
        <v>85</v>
      </c>
      <c r="AB44" s="4">
        <f>IF(AA44="Not at all",0,IF(AA44="Several days",1,IF(AA44="More than half the days",2,3)))</f>
        <v>0</v>
      </c>
      <c r="AC44" s="4">
        <f>SUM(Form_Responses[[#This Row],[Score]],Form_Responses[[#This Row],[Score2]],Form_Responses[[#This Row],[Score3]],Form_Responses[[#This Row],[Score4]],Form_Responses[[#This Row],[Score5]],Form_Responses[[#This Row],[Score6]],Form_Responses[[#This Row],[Score7]],Form_Responses[[#This Row],[Score8]],Form_Responses[[#This Row],[Score9]])</f>
        <v>10</v>
      </c>
      <c r="AD44" s="4" t="str">
        <f>IF(Form_Responses[[#This Row],[Depression Score ]]&lt;=4,"Minimal symptoms",IF(Form_Responses[[#This Row],[Depression Score ]]&lt;=9,"Mild Depression",IF(Form_Responses[[#This Row],[Depression Score ]]&lt;=14,"Moderate depression",IF(Form_Responses[[#This Row],[Depression Score ]]&lt;=19,"Moderately severe depression","Severe depression"))))</f>
        <v xml:space="preserve">Moderate depression</v>
      </c>
      <c r="AE44" s="3" t="s">
        <v>86</v>
      </c>
      <c r="AF44" s="4">
        <f>IF(AE44="Not at all",0,IF(AE44="Several days",1,IF(AE44="More than half the days",2,3)))</f>
        <v>1</v>
      </c>
      <c r="AG44" s="3" t="s">
        <v>87</v>
      </c>
      <c r="AH44" s="4">
        <f>IF(AG44="Not at all",0,IF(AG44="Several days",1,IF(AG44="More than half the days",2,3)))</f>
        <v>2</v>
      </c>
      <c r="AI44" s="3" t="s">
        <v>87</v>
      </c>
      <c r="AJ44" s="4">
        <f>IF(AI44="Not at all",0,IF(AI44="Several days",1,IF(AI44="More than half the days",2,3)))</f>
        <v>2</v>
      </c>
      <c r="AK44" s="3" t="s">
        <v>86</v>
      </c>
      <c r="AL44" s="4">
        <f>IF(AK44="Not at all",0,IF(AK44="Several days",1,IF(AK44="More than half the days",2,3)))</f>
        <v>1</v>
      </c>
      <c r="AM44" s="3" t="s">
        <v>87</v>
      </c>
      <c r="AN44" s="4">
        <f>IF(AM44="Not at all",0,IF(AM44="Several days",1,IF(AM44="More than half the days",2,3)))</f>
        <v>2</v>
      </c>
      <c r="AO44" s="3" t="s">
        <v>86</v>
      </c>
      <c r="AP44" s="4">
        <f>IF(AO44="Not at all",0,IF(AO44="Several days",1,IF(AO44="More than half the days",2,3)))</f>
        <v>1</v>
      </c>
      <c r="AQ44" s="3" t="s">
        <v>85</v>
      </c>
      <c r="AR44" s="4">
        <f>IF(AQ44="Not at all",0,IF(AQ44="Several days",1,IF(AQ44="More than half the days",2,3)))</f>
        <v>0</v>
      </c>
      <c r="AS44" s="4">
        <f>SUM(Form_Responses[[#This Row],[Score16]],Form_Responses[[#This Row],[Score10]],Form_Responses[[#This Row],[Score11]],Form_Responses[[#This Row],[Score12]],Form_Responses[[#This Row],[Score13]],Form_Responses[[#This Row],[Score14]],Form_Responses[[#This Row],[Score15]])</f>
        <v>9</v>
      </c>
      <c r="AT44" s="4" t="str">
        <f>IF(Form_Responses[[#This Row],[Anxiety Score]]&lt;=4,"Minimal anxiety",IF(Form_Responses[[#This Row],[Anxiety Score]]&lt;=9,"Mild anxiety",IF(Form_Responses[[#This Row],[Anxiety Score]]&lt;=14,"Moderate anxiety","Severe anxiety")))</f>
        <v xml:space="preserve">Mild anxiety</v>
      </c>
      <c r="AU44" s="3" t="s">
        <v>88</v>
      </c>
      <c r="AV44" s="4">
        <f>IF(Form_Responses[[#This Row],[1. In the last month, how often have you been upset because of unexpected situations related to academics, finances, or personal life?]]="Never",0,IF(Form_Responses[[#This Row],[1. In the last month, how often have you been upset because of unexpected situations related to academics, finances, or personal life?]]="Almost never",1,IF(Form_Responses[[#This Row],[1. In the last month, how often have you been upset because of unexpected situations related to academics, finances, or personal life?]]="Sometimes",2,IF(Form_Responses[[#This Row],[1. In the last month, how often have you been upset because of unexpected situations related to academics, finances, or personal life?]]="Fairly often",3,4))))</f>
        <v>3</v>
      </c>
      <c r="AW44" s="3" t="s">
        <v>89</v>
      </c>
      <c r="AX44" s="5">
        <f>IF(Form_Responses[[#This Row],[2. In the last month, how often have you felt unable to control important things in your academic or personal life?]]="Never",0,IF(Form_Responses[[#This Row],[2. In the last month, how often have you felt unable to control important things in your academic or personal life?]]="Almost never",1,IF(Form_Responses[[#This Row],[2. In the last month, how often have you felt unable to control important things in your academic or personal life?]]="Sometimes",2,IF(Form_Responses[[#This Row],[2. In the last month, how often have you felt unable to control important things in your academic or personal life?]]="Fairly often",3,4))))</f>
        <v>2</v>
      </c>
      <c r="AY44" s="3" t="s">
        <v>89</v>
      </c>
      <c r="AZ44" s="4">
        <f>IF(Form_Responses[[#This Row],[3. In the last month, how often have you felt nervous or stressed because of university responsibilities or personal challenges?]]="Never",0,IF(Form_Responses[[#This Row],[3. In the last month, how often have you felt nervous or stressed because of university responsibilities or personal challenges?]]="Almost never",1,IF(Form_Responses[[#This Row],[3. In the last month, how often have you felt nervous or stressed because of university responsibilities or personal challenges?]]="Sometimes",2,IF(Form_Responses[[#This Row],[3. In the last month, how often have you felt nervous or stressed because of university responsibilities or personal challenges?]]="Fairly often",3,4))))</f>
        <v>2</v>
      </c>
      <c r="BA44" s="3" t="s">
        <v>88</v>
      </c>
      <c r="BB44" s="4">
        <f>IF(Form_Responses[[#This Row],[4. In the last month, how often have you felt confident about your ability to handle academic or personal problems?]]="Never",4,IF(Form_Responses[[#This Row],[4. In the last month, how often have you felt confident about your ability to handle academic or personal problems?]]="Almost never",3,IF(Form_Responses[[#This Row],[4. In the last month, how often have you felt confident about your ability to handle academic or personal problems?]]="Sometimes",2,IF(Form_Responses[[#This Row],[4. In the last month, how often have you felt confident about your ability to handle academic or personal problems?]]="Fairly often",1,0))))</f>
        <v>1</v>
      </c>
      <c r="BC44" s="3" t="s">
        <v>105</v>
      </c>
      <c r="BD44" s="4">
        <f>IF(Form_Responses[[#This Row],[5. In the last month, how often have you felt that things were going well in your studies or personal life?]]="Never",4,IF(Form_Responses[[#This Row],[5. In the last month, how often have you felt that things were going well in your studies or personal life?]]="Almost never",3,IF(Form_Responses[[#This Row],[5. In the last month, how often have you felt that things were going well in your studies or personal life?]]="Sometimes",2,IF(Form_Responses[[#This Row],[5. In the last month, how often have you felt that things were going well in your studies or personal life?]]="Fairly often",1,0))))</f>
        <v>0</v>
      </c>
      <c r="BE44" s="3" t="s">
        <v>105</v>
      </c>
      <c r="BF44" s="4">
        <f>IF(Form_Responses[[#This Row],[6. In the last month, how often have you felt unable to cope with coursework, deadlines, or daily responsibilities?]]="Never",0,IF(Form_Responses[[#This Row],[6. In the last month, how often have you felt unable to cope with coursework, deadlines, or daily responsibilities?]]="Almost never",1,IF(Form_Responses[[#This Row],[6. In the last month, how often have you felt unable to cope with coursework, deadlines, or daily responsibilities?]]="Sometimes",2,IF(Form_Responses[[#This Row],[6. In the last month, how often have you felt unable to cope with coursework, deadlines, or daily responsibilities?]]="Fairly often",3,4))))</f>
        <v>4</v>
      </c>
      <c r="BG44" s="3" t="s">
        <v>88</v>
      </c>
      <c r="BH44" s="4">
        <f>IF(Form_Responses[[#This Row],[7. In the last month, how often have you been able to control irritations or frustrations in your life?]]="Never",4,IF(Form_Responses[[#This Row],[7. In the last month, how often have you been able to control irritations or frustrations in your life?]]="Almost never",3,IF(Form_Responses[[#This Row],[7. In the last month, how often have you been able to control irritations or frustrations in your life?]]="Sometimes",2,IF(Form_Responses[[#This Row],[7. In the last month, how often have you been able to control irritations or frustrations in your life?]]="Fairly often",1,0))))</f>
        <v>1</v>
      </c>
      <c r="BI44" s="3" t="s">
        <v>88</v>
      </c>
      <c r="BJ44" s="4">
        <f>IF(Form_Responses[[#This Row],[8. In the last month, how often have you felt that you were managing your academic and personal responsibilities well?]]="Never",4,IF(Form_Responses[[#This Row],[8. In the last month, how often have you felt that you were managing your academic and personal responsibilities well?]]="Almost never",3,IF(Form_Responses[[#This Row],[8. In the last month, how often have you felt that you were managing your academic and personal responsibilities well?]]="Sometimes",2,IF(Form_Responses[[#This Row],[8. In the last month, how often have you felt that you were managing your academic and personal responsibilities well?]]="Fairly often",1,0))))</f>
        <v>1</v>
      </c>
      <c r="BK44" s="3" t="s">
        <v>88</v>
      </c>
      <c r="BL44" s="5">
        <f>IF(Form_Responses[[#This Row],[9. In the last month, how often have you been angered or frustrated by situations outside your control, such as finances, academics, or relationships?]]="Never",0,IF(Form_Responses[[#This Row],[9. In the last month, how often have you been angered or frustrated by situations outside your control, such as finances, academics, or relationships?]]="Almost never",1,IF(Form_Responses[[#This Row],[9. In the last month, how often have you been angered or frustrated by situations outside your control, such as finances, academics, or relationships?]]="Sometimes",2,IF(Form_Responses[[#This Row],[9. In the last month, how often have you been angered or frustrated by situations outside your control, such as finances, academics, or relationships?]]="Fairly often",3,4))))</f>
        <v>3</v>
      </c>
      <c r="BM44" s="3" t="s">
        <v>90</v>
      </c>
      <c r="BN44" s="4">
        <f>IF(Form_Responses[[#This Row],[10. In the last month, how often have you felt that difficulties were piling up so much that you could not overcome them?]]="Never",0,IF(Form_Responses[[#This Row],[10. In the last month, how often have you felt that difficulties were piling up so much that you could not overcome them?]]="Almost never",1,IF(Form_Responses[[#This Row],[10. In the last month, how often have you felt that difficulties were piling up so much that you could not overcome them?]]="Sometimes",2,IF(Form_Responses[[#This Row],[10. In the last month, how often have you felt that difficulties were piling up so much that you could not overcome them?]]="Fairly often",3,4))))</f>
        <v>1</v>
      </c>
      <c r="BO44" s="4">
        <f>SUM(Form_Responses[[#This Row],[Score17]],Form_Responses[[#This Row],[Score18]],Form_Responses[[#This Row],[Score19]],Form_Responses[[#This Row],[Score20]],Form_Responses[[#This Row],[Score21]],Form_Responses[[#This Row],[Score22]],Form_Responses[[#This Row],[Score23]],Form_Responses[[#This Row],[Score24]],Form_Responses[[#This Row],[Score25]],Form_Responses[[#This Row],[Score26]])</f>
        <v>18</v>
      </c>
      <c r="BP44" s="4" t="str">
        <f>IF(Form_Responses[[#This Row],[Anxiety Score2]]&lt;=13,"Low stress",IF(Form_Responses[[#This Row],[Anxiety Score2]]&lt;=26,"Moderate stress","High stress"))</f>
        <v xml:space="preserve">Moderate stress</v>
      </c>
      <c r="BQ44" s="3" t="s">
        <v>76</v>
      </c>
      <c r="BR44" s="3" t="s">
        <v>76</v>
      </c>
      <c r="BS44" s="3" t="s">
        <v>311</v>
      </c>
      <c r="BT44" s="3" t="s">
        <v>108</v>
      </c>
      <c r="BU44" s="3" t="s">
        <v>106</v>
      </c>
      <c r="BV44" s="3" t="s">
        <v>312</v>
      </c>
      <c r="BW44" s="3" t="s">
        <v>313</v>
      </c>
      <c r="BX44" s="3" t="s">
        <v>314</v>
      </c>
    </row>
    <row r="45" ht="22.5" customHeight="1">
      <c r="A45" s="2">
        <v>46198.839927766203</v>
      </c>
      <c r="B45" s="3" t="s">
        <v>76</v>
      </c>
      <c r="C45" s="3" t="s">
        <v>154</v>
      </c>
      <c r="D45" s="3" t="s">
        <v>78</v>
      </c>
      <c r="E45" s="3" t="s">
        <v>98</v>
      </c>
      <c r="F45" s="3" t="s">
        <v>241</v>
      </c>
      <c r="G45" s="3" t="s">
        <v>81</v>
      </c>
      <c r="H45" s="3" t="s">
        <v>82</v>
      </c>
      <c r="I45" s="3" t="s">
        <v>123</v>
      </c>
      <c r="J45" s="3" t="s">
        <v>160</v>
      </c>
      <c r="K45" s="3" t="s">
        <v>87</v>
      </c>
      <c r="L45" s="4">
        <f>IF(K45="Not at all",0,IF(K45="Several days",1,IF(K45="More than half the days",2,3)))</f>
        <v>2</v>
      </c>
      <c r="M45" s="3" t="s">
        <v>86</v>
      </c>
      <c r="N45" s="4">
        <f>IF(M45="Not at all",0,IF(M45="Several days",1,IF(M45="More than half the days",2,3)))</f>
        <v>1</v>
      </c>
      <c r="O45" s="3" t="s">
        <v>104</v>
      </c>
      <c r="P45" s="5">
        <f>IF(O45="Not at all",0,IF(O45="Several days",1,IF(O45="More than half the days",2,3)))</f>
        <v>3</v>
      </c>
      <c r="Q45" s="3" t="s">
        <v>86</v>
      </c>
      <c r="R45" s="4">
        <f>IF(Q45="Not at all",0,IF(Q45="Several days",1,IF(Q45="More than half the days",2,3)))</f>
        <v>1</v>
      </c>
      <c r="S45" s="3" t="s">
        <v>85</v>
      </c>
      <c r="T45" s="4">
        <f>IF(S45="Not at all",0,IF(S45="Several days",1,IF(S45="More than half the days",2,3)))</f>
        <v>0</v>
      </c>
      <c r="U45" s="3" t="s">
        <v>104</v>
      </c>
      <c r="V45" s="4">
        <f>IF(U45="Not at all",0,IF(U45="Several days",1,IF(U45="More than half the days",2,3)))</f>
        <v>3</v>
      </c>
      <c r="W45" s="3" t="s">
        <v>86</v>
      </c>
      <c r="X45" s="4">
        <f>IF(W45="Not at all",0,IF(W45="Several days",1,IF(W45="More than half the days",2,3)))</f>
        <v>1</v>
      </c>
      <c r="Y45" s="3" t="s">
        <v>85</v>
      </c>
      <c r="Z45" s="4">
        <f>IF(Y45="Not at all",0,IF(Y45="Several days",1,IF(Y45="More than half the days",2,3)))</f>
        <v>0</v>
      </c>
      <c r="AA45" s="3" t="s">
        <v>87</v>
      </c>
      <c r="AB45" s="4">
        <f>IF(AA45="Not at all",0,IF(AA45="Several days",1,IF(AA45="More than half the days",2,3)))</f>
        <v>2</v>
      </c>
      <c r="AC45" s="4">
        <f>SUM(Form_Responses[[#This Row],[Score]],Form_Responses[[#This Row],[Score2]],Form_Responses[[#This Row],[Score3]],Form_Responses[[#This Row],[Score4]],Form_Responses[[#This Row],[Score5]],Form_Responses[[#This Row],[Score6]],Form_Responses[[#This Row],[Score7]],Form_Responses[[#This Row],[Score8]],Form_Responses[[#This Row],[Score9]])</f>
        <v>13</v>
      </c>
      <c r="AD45" s="4" t="str">
        <f>IF(Form_Responses[[#This Row],[Depression Score ]]&lt;=4,"Minimal symptoms",IF(Form_Responses[[#This Row],[Depression Score ]]&lt;=9,"Mild Depression",IF(Form_Responses[[#This Row],[Depression Score ]]&lt;=14,"Moderate depression",IF(Form_Responses[[#This Row],[Depression Score ]]&lt;=19,"Moderately severe depression","Severe depression"))))</f>
        <v xml:space="preserve">Moderate depression</v>
      </c>
      <c r="AE45" s="3" t="s">
        <v>87</v>
      </c>
      <c r="AF45" s="4">
        <f>IF(AE45="Not at all",0,IF(AE45="Several days",1,IF(AE45="More than half the days",2,3)))</f>
        <v>2</v>
      </c>
      <c r="AG45" s="3" t="s">
        <v>104</v>
      </c>
      <c r="AH45" s="4">
        <f>IF(AG45="Not at all",0,IF(AG45="Several days",1,IF(AG45="More than half the days",2,3)))</f>
        <v>3</v>
      </c>
      <c r="AI45" s="3" t="s">
        <v>104</v>
      </c>
      <c r="AJ45" s="4">
        <f>IF(AI45="Not at all",0,IF(AI45="Several days",1,IF(AI45="More than half the days",2,3)))</f>
        <v>3</v>
      </c>
      <c r="AK45" s="3" t="s">
        <v>87</v>
      </c>
      <c r="AL45" s="4">
        <f>IF(AK45="Not at all",0,IF(AK45="Several days",1,IF(AK45="More than half the days",2,3)))</f>
        <v>2</v>
      </c>
      <c r="AM45" s="3" t="s">
        <v>86</v>
      </c>
      <c r="AN45" s="4">
        <f>IF(AM45="Not at all",0,IF(AM45="Several days",1,IF(AM45="More than half the days",2,3)))</f>
        <v>1</v>
      </c>
      <c r="AO45" s="3" t="s">
        <v>86</v>
      </c>
      <c r="AP45" s="4">
        <f>IF(AO45="Not at all",0,IF(AO45="Several days",1,IF(AO45="More than half the days",2,3)))</f>
        <v>1</v>
      </c>
      <c r="AQ45" s="3" t="s">
        <v>87</v>
      </c>
      <c r="AR45" s="4">
        <f>IF(AQ45="Not at all",0,IF(AQ45="Several days",1,IF(AQ45="More than half the days",2,3)))</f>
        <v>2</v>
      </c>
      <c r="AS45" s="4">
        <f>SUM(Form_Responses[[#This Row],[Score16]],Form_Responses[[#This Row],[Score10]],Form_Responses[[#This Row],[Score11]],Form_Responses[[#This Row],[Score12]],Form_Responses[[#This Row],[Score13]],Form_Responses[[#This Row],[Score14]],Form_Responses[[#This Row],[Score15]])</f>
        <v>14</v>
      </c>
      <c r="AT45" s="4" t="str">
        <f>IF(Form_Responses[[#This Row],[Anxiety Score]]&lt;=4,"Minimal anxiety",IF(Form_Responses[[#This Row],[Anxiety Score]]&lt;=9,"Mild anxiety",IF(Form_Responses[[#This Row],[Anxiety Score]]&lt;=14,"Moderate anxiety","Severe anxiety")))</f>
        <v xml:space="preserve">Moderate anxiety</v>
      </c>
      <c r="AU45" s="3" t="s">
        <v>105</v>
      </c>
      <c r="AV45" s="4">
        <f>IF(Form_Responses[[#This Row],[1. In the last month, how often have you been upset because of unexpected situations related to academics, finances, or personal life?]]="Never",0,IF(Form_Responses[[#This Row],[1. In the last month, how often have you been upset because of unexpected situations related to academics, finances, or personal life?]]="Almost never",1,IF(Form_Responses[[#This Row],[1. In the last month, how often have you been upset because of unexpected situations related to academics, finances, or personal life?]]="Sometimes",2,IF(Form_Responses[[#This Row],[1. In the last month, how often have you been upset because of unexpected situations related to academics, finances, or personal life?]]="Fairly often",3,4))))</f>
        <v>4</v>
      </c>
      <c r="AW45" s="3" t="s">
        <v>105</v>
      </c>
      <c r="AX45" s="5">
        <f>IF(Form_Responses[[#This Row],[2. In the last month, how often have you felt unable to control important things in your academic or personal life?]]="Never",0,IF(Form_Responses[[#This Row],[2. In the last month, how often have you felt unable to control important things in your academic or personal life?]]="Almost never",1,IF(Form_Responses[[#This Row],[2. In the last month, how often have you felt unable to control important things in your academic or personal life?]]="Sometimes",2,IF(Form_Responses[[#This Row],[2. In the last month, how often have you felt unable to control important things in your academic or personal life?]]="Fairly often",3,4))))</f>
        <v>4</v>
      </c>
      <c r="AY45" s="3" t="s">
        <v>105</v>
      </c>
      <c r="AZ45" s="4">
        <f>IF(Form_Responses[[#This Row],[3. In the last month, how often have you felt nervous or stressed because of university responsibilities or personal challenges?]]="Never",0,IF(Form_Responses[[#This Row],[3. In the last month, how often have you felt nervous or stressed because of university responsibilities or personal challenges?]]="Almost never",1,IF(Form_Responses[[#This Row],[3. In the last month, how often have you felt nervous or stressed because of university responsibilities or personal challenges?]]="Sometimes",2,IF(Form_Responses[[#This Row],[3. In the last month, how often have you felt nervous or stressed because of university responsibilities or personal challenges?]]="Fairly often",3,4))))</f>
        <v>4</v>
      </c>
      <c r="BA45" s="3" t="s">
        <v>89</v>
      </c>
      <c r="BB45" s="4">
        <f>IF(Form_Responses[[#This Row],[4. In the last month, how often have you felt confident about your ability to handle academic or personal problems?]]="Never",4,IF(Form_Responses[[#This Row],[4. In the last month, how often have you felt confident about your ability to handle academic or personal problems?]]="Almost never",3,IF(Form_Responses[[#This Row],[4. In the last month, how often have you felt confident about your ability to handle academic or personal problems?]]="Sometimes",2,IF(Form_Responses[[#This Row],[4. In the last month, how often have you felt confident about your ability to handle academic or personal problems?]]="Fairly often",1,0))))</f>
        <v>2</v>
      </c>
      <c r="BC45" s="3" t="s">
        <v>89</v>
      </c>
      <c r="BD45" s="4">
        <f>IF(Form_Responses[[#This Row],[5. In the last month, how often have you felt that things were going well in your studies or personal life?]]="Never",4,IF(Form_Responses[[#This Row],[5. In the last month, how often have you felt that things were going well in your studies or personal life?]]="Almost never",3,IF(Form_Responses[[#This Row],[5. In the last month, how often have you felt that things were going well in your studies or personal life?]]="Sometimes",2,IF(Form_Responses[[#This Row],[5. In the last month, how often have you felt that things were going well in your studies or personal life?]]="Fairly often",1,0))))</f>
        <v>2</v>
      </c>
      <c r="BE45" s="3" t="s">
        <v>89</v>
      </c>
      <c r="BF45" s="4">
        <f>IF(Form_Responses[[#This Row],[6. In the last month, how often have you felt unable to cope with coursework, deadlines, or daily responsibilities?]]="Never",0,IF(Form_Responses[[#This Row],[6. In the last month, how often have you felt unable to cope with coursework, deadlines, or daily responsibilities?]]="Almost never",1,IF(Form_Responses[[#This Row],[6. In the last month, how often have you felt unable to cope with coursework, deadlines, or daily responsibilities?]]="Sometimes",2,IF(Form_Responses[[#This Row],[6. In the last month, how often have you felt unable to cope with coursework, deadlines, or daily responsibilities?]]="Fairly often",3,4))))</f>
        <v>2</v>
      </c>
      <c r="BG45" s="3" t="s">
        <v>89</v>
      </c>
      <c r="BH45" s="4">
        <f>IF(Form_Responses[[#This Row],[7. In the last month, how often have you been able to control irritations or frustrations in your life?]]="Never",4,IF(Form_Responses[[#This Row],[7. In the last month, how often have you been able to control irritations or frustrations in your life?]]="Almost never",3,IF(Form_Responses[[#This Row],[7. In the last month, how often have you been able to control irritations or frustrations in your life?]]="Sometimes",2,IF(Form_Responses[[#This Row],[7. In the last month, how often have you been able to control irritations or frustrations in your life?]]="Fairly often",1,0))))</f>
        <v>2</v>
      </c>
      <c r="BI45" s="3" t="s">
        <v>89</v>
      </c>
      <c r="BJ45" s="4">
        <f>IF(Form_Responses[[#This Row],[8. In the last month, how often have you felt that you were managing your academic and personal responsibilities well?]]="Never",4,IF(Form_Responses[[#This Row],[8. In the last month, how often have you felt that you were managing your academic and personal responsibilities well?]]="Almost never",3,IF(Form_Responses[[#This Row],[8. In the last month, how often have you felt that you were managing your academic and personal responsibilities well?]]="Sometimes",2,IF(Form_Responses[[#This Row],[8. In the last month, how often have you felt that you were managing your academic and personal responsibilities well?]]="Fairly often",1,0))))</f>
        <v>2</v>
      </c>
      <c r="BK45" s="3" t="s">
        <v>105</v>
      </c>
      <c r="BL45" s="5">
        <f>IF(Form_Responses[[#This Row],[9. In the last month, how often have you been angered or frustrated by situations outside your control, such as finances, academics, or relationships?]]="Never",0,IF(Form_Responses[[#This Row],[9. In the last month, how often have you been angered or frustrated by situations outside your control, such as finances, academics, or relationships?]]="Almost never",1,IF(Form_Responses[[#This Row],[9. In the last month, how often have you been angered or frustrated by situations outside your control, such as finances, academics, or relationships?]]="Sometimes",2,IF(Form_Responses[[#This Row],[9. In the last month, how often have you been angered or frustrated by situations outside your control, such as finances, academics, or relationships?]]="Fairly often",3,4))))</f>
        <v>4</v>
      </c>
      <c r="BM45" s="3" t="s">
        <v>105</v>
      </c>
      <c r="BN45" s="4">
        <f>IF(Form_Responses[[#This Row],[10. In the last month, how often have you felt that difficulties were piling up so much that you could not overcome them?]]="Never",0,IF(Form_Responses[[#This Row],[10. In the last month, how often have you felt that difficulties were piling up so much that you could not overcome them?]]="Almost never",1,IF(Form_Responses[[#This Row],[10. In the last month, how often have you felt that difficulties were piling up so much that you could not overcome them?]]="Sometimes",2,IF(Form_Responses[[#This Row],[10. In the last month, how often have you felt that difficulties were piling up so much that you could not overcome them?]]="Fairly often",3,4))))</f>
        <v>4</v>
      </c>
      <c r="BO45" s="4">
        <f>SUM(Form_Responses[[#This Row],[Score17]],Form_Responses[[#This Row],[Score18]],Form_Responses[[#This Row],[Score19]],Form_Responses[[#This Row],[Score20]],Form_Responses[[#This Row],[Score21]],Form_Responses[[#This Row],[Score22]],Form_Responses[[#This Row],[Score23]],Form_Responses[[#This Row],[Score24]],Form_Responses[[#This Row],[Score25]],Form_Responses[[#This Row],[Score26]])</f>
        <v>30</v>
      </c>
      <c r="BP45" s="4" t="str">
        <f>IF(Form_Responses[[#This Row],[Anxiety Score2]]&lt;=13,"Low stress",IF(Form_Responses[[#This Row],[Anxiety Score2]]&lt;=26,"Moderate stress","High stress"))</f>
        <v xml:space="preserve">High stress</v>
      </c>
      <c r="BQ45" s="3" t="s">
        <v>91</v>
      </c>
      <c r="BR45" s="3" t="s">
        <v>106</v>
      </c>
      <c r="BS45" s="3" t="s">
        <v>315</v>
      </c>
      <c r="BT45" s="3" t="s">
        <v>264</v>
      </c>
      <c r="BU45" s="3" t="s">
        <v>106</v>
      </c>
      <c r="BV45" s="3" t="s">
        <v>316</v>
      </c>
      <c r="BW45" s="3" t="s">
        <v>317</v>
      </c>
      <c r="BX45" s="3" t="s">
        <v>318</v>
      </c>
    </row>
    <row r="46" ht="22.5" customHeight="1">
      <c r="A46" s="2">
        <v>46199.315659722219</v>
      </c>
      <c r="B46" s="3" t="s">
        <v>76</v>
      </c>
      <c r="C46" s="3" t="s">
        <v>154</v>
      </c>
      <c r="D46" s="3" t="s">
        <v>78</v>
      </c>
      <c r="E46" s="3" t="s">
        <v>79</v>
      </c>
      <c r="F46" s="3" t="s">
        <v>241</v>
      </c>
      <c r="G46" s="3" t="s">
        <v>81</v>
      </c>
      <c r="H46" s="3" t="s">
        <v>101</v>
      </c>
      <c r="I46" s="3" t="s">
        <v>83</v>
      </c>
      <c r="J46" s="3" t="s">
        <v>84</v>
      </c>
      <c r="K46" s="3" t="s">
        <v>86</v>
      </c>
      <c r="L46" s="4">
        <f>IF(K46="Not at all",0,IF(K46="Several days",1,IF(K46="More than half the days",2,3)))</f>
        <v>1</v>
      </c>
      <c r="M46" s="3" t="s">
        <v>86</v>
      </c>
      <c r="N46" s="4">
        <f>IF(M46="Not at all",0,IF(M46="Several days",1,IF(M46="More than half the days",2,3)))</f>
        <v>1</v>
      </c>
      <c r="O46" s="3" t="s">
        <v>104</v>
      </c>
      <c r="P46" s="5">
        <f>IF(O46="Not at all",0,IF(O46="Several days",1,IF(O46="More than half the days",2,3)))</f>
        <v>3</v>
      </c>
      <c r="Q46" s="3" t="s">
        <v>104</v>
      </c>
      <c r="R46" s="4">
        <f>IF(Q46="Not at all",0,IF(Q46="Several days",1,IF(Q46="More than half the days",2,3)))</f>
        <v>3</v>
      </c>
      <c r="S46" s="3" t="s">
        <v>86</v>
      </c>
      <c r="T46" s="4">
        <f>IF(S46="Not at all",0,IF(S46="Several days",1,IF(S46="More than half the days",2,3)))</f>
        <v>1</v>
      </c>
      <c r="U46" s="3" t="s">
        <v>104</v>
      </c>
      <c r="V46" s="4">
        <f>IF(U46="Not at all",0,IF(U46="Several days",1,IF(U46="More than half the days",2,3)))</f>
        <v>3</v>
      </c>
      <c r="W46" s="3" t="s">
        <v>104</v>
      </c>
      <c r="X46" s="4">
        <f>IF(W46="Not at all",0,IF(W46="Several days",1,IF(W46="More than half the days",2,3)))</f>
        <v>3</v>
      </c>
      <c r="Y46" s="3" t="s">
        <v>86</v>
      </c>
      <c r="Z46" s="4">
        <f>IF(Y46="Not at all",0,IF(Y46="Several days",1,IF(Y46="More than half the days",2,3)))</f>
        <v>1</v>
      </c>
      <c r="AA46" s="3" t="s">
        <v>86</v>
      </c>
      <c r="AB46" s="4">
        <f>IF(AA46="Not at all",0,IF(AA46="Several days",1,IF(AA46="More than half the days",2,3)))</f>
        <v>1</v>
      </c>
      <c r="AC46" s="4">
        <f>SUM(Form_Responses[[#This Row],[Score]],Form_Responses[[#This Row],[Score2]],Form_Responses[[#This Row],[Score3]],Form_Responses[[#This Row],[Score4]],Form_Responses[[#This Row],[Score5]],Form_Responses[[#This Row],[Score6]],Form_Responses[[#This Row],[Score7]],Form_Responses[[#This Row],[Score8]],Form_Responses[[#This Row],[Score9]])</f>
        <v>17</v>
      </c>
      <c r="AD46" s="4" t="str">
        <f>IF(Form_Responses[[#This Row],[Depression Score ]]&lt;=4,"Minimal symptoms",IF(Form_Responses[[#This Row],[Depression Score ]]&lt;=9,"Mild Depression",IF(Form_Responses[[#This Row],[Depression Score ]]&lt;=14,"Moderate depression",IF(Form_Responses[[#This Row],[Depression Score ]]&lt;=19,"Moderately severe depression","Severe depression"))))</f>
        <v xml:space="preserve">Moderately severe depression</v>
      </c>
      <c r="AE46" s="3" t="s">
        <v>86</v>
      </c>
      <c r="AF46" s="4">
        <f>IF(AE46="Not at all",0,IF(AE46="Several days",1,IF(AE46="More than half the days",2,3)))</f>
        <v>1</v>
      </c>
      <c r="AG46" s="3" t="s">
        <v>86</v>
      </c>
      <c r="AH46" s="4">
        <f>IF(AG46="Not at all",0,IF(AG46="Several days",1,IF(AG46="More than half the days",2,3)))</f>
        <v>1</v>
      </c>
      <c r="AI46" s="3" t="s">
        <v>87</v>
      </c>
      <c r="AJ46" s="4">
        <f>IF(AI46="Not at all",0,IF(AI46="Several days",1,IF(AI46="More than half the days",2,3)))</f>
        <v>2</v>
      </c>
      <c r="AK46" s="3" t="s">
        <v>86</v>
      </c>
      <c r="AL46" s="4">
        <f>IF(AK46="Not at all",0,IF(AK46="Several days",1,IF(AK46="More than half the days",2,3)))</f>
        <v>1</v>
      </c>
      <c r="AM46" s="3" t="s">
        <v>87</v>
      </c>
      <c r="AN46" s="4">
        <f>IF(AM46="Not at all",0,IF(AM46="Several days",1,IF(AM46="More than half the days",2,3)))</f>
        <v>2</v>
      </c>
      <c r="AO46" s="3" t="s">
        <v>85</v>
      </c>
      <c r="AP46" s="4">
        <f>IF(AO46="Not at all",0,IF(AO46="Several days",1,IF(AO46="More than half the days",2,3)))</f>
        <v>0</v>
      </c>
      <c r="AQ46" s="3" t="s">
        <v>86</v>
      </c>
      <c r="AR46" s="4">
        <f>IF(AQ46="Not at all",0,IF(AQ46="Several days",1,IF(AQ46="More than half the days",2,3)))</f>
        <v>1</v>
      </c>
      <c r="AS46" s="4">
        <f>SUM(Form_Responses[[#This Row],[Score16]],Form_Responses[[#This Row],[Score10]],Form_Responses[[#This Row],[Score11]],Form_Responses[[#This Row],[Score12]],Form_Responses[[#This Row],[Score13]],Form_Responses[[#This Row],[Score14]],Form_Responses[[#This Row],[Score15]])</f>
        <v>8</v>
      </c>
      <c r="AT46" s="4" t="str">
        <f>IF(Form_Responses[[#This Row],[Anxiety Score]]&lt;=4,"Minimal anxiety",IF(Form_Responses[[#This Row],[Anxiety Score]]&lt;=9,"Mild anxiety",IF(Form_Responses[[#This Row],[Anxiety Score]]&lt;=14,"Moderate anxiety","Severe anxiety")))</f>
        <v xml:space="preserve">Mild anxiety</v>
      </c>
      <c r="AU46" s="3" t="s">
        <v>89</v>
      </c>
      <c r="AV46" s="4">
        <f>IF(Form_Responses[[#This Row],[1. In the last month, how often have you been upset because of unexpected situations related to academics, finances, or personal life?]]="Never",0,IF(Form_Responses[[#This Row],[1. In the last month, how often have you been upset because of unexpected situations related to academics, finances, or personal life?]]="Almost never",1,IF(Form_Responses[[#This Row],[1. In the last month, how often have you been upset because of unexpected situations related to academics, finances, or personal life?]]="Sometimes",2,IF(Form_Responses[[#This Row],[1. In the last month, how often have you been upset because of unexpected situations related to academics, finances, or personal life?]]="Fairly often",3,4))))</f>
        <v>2</v>
      </c>
      <c r="AW46" s="3" t="s">
        <v>89</v>
      </c>
      <c r="AX46" s="5">
        <f>IF(Form_Responses[[#This Row],[2. In the last month, how often have you felt unable to control important things in your academic or personal life?]]="Never",0,IF(Form_Responses[[#This Row],[2. In the last month, how often have you felt unable to control important things in your academic or personal life?]]="Almost never",1,IF(Form_Responses[[#This Row],[2. In the last month, how often have you felt unable to control important things in your academic or personal life?]]="Sometimes",2,IF(Form_Responses[[#This Row],[2. In the last month, how often have you felt unable to control important things in your academic or personal life?]]="Fairly often",3,4))))</f>
        <v>2</v>
      </c>
      <c r="AY46" s="3" t="s">
        <v>89</v>
      </c>
      <c r="AZ46" s="4">
        <f>IF(Form_Responses[[#This Row],[3. In the last month, how often have you felt nervous or stressed because of university responsibilities or personal challenges?]]="Never",0,IF(Form_Responses[[#This Row],[3. In the last month, how often have you felt nervous or stressed because of university responsibilities or personal challenges?]]="Almost never",1,IF(Form_Responses[[#This Row],[3. In the last month, how often have you felt nervous or stressed because of university responsibilities or personal challenges?]]="Sometimes",2,IF(Form_Responses[[#This Row],[3. In the last month, how often have you felt nervous or stressed because of university responsibilities or personal challenges?]]="Fairly often",3,4))))</f>
        <v>2</v>
      </c>
      <c r="BA46" s="3" t="s">
        <v>89</v>
      </c>
      <c r="BB46" s="4">
        <f>IF(Form_Responses[[#This Row],[4. In the last month, how often have you felt confident about your ability to handle academic or personal problems?]]="Never",4,IF(Form_Responses[[#This Row],[4. In the last month, how often have you felt confident about your ability to handle academic or personal problems?]]="Almost never",3,IF(Form_Responses[[#This Row],[4. In the last month, how often have you felt confident about your ability to handle academic or personal problems?]]="Sometimes",2,IF(Form_Responses[[#This Row],[4. In the last month, how often have you felt confident about your ability to handle academic or personal problems?]]="Fairly often",1,0))))</f>
        <v>2</v>
      </c>
      <c r="BC46" s="3" t="s">
        <v>89</v>
      </c>
      <c r="BD46" s="4">
        <f>IF(Form_Responses[[#This Row],[5. In the last month, how often have you felt that things were going well in your studies or personal life?]]="Never",4,IF(Form_Responses[[#This Row],[5. In the last month, how often have you felt that things were going well in your studies or personal life?]]="Almost never",3,IF(Form_Responses[[#This Row],[5. In the last month, how often have you felt that things were going well in your studies or personal life?]]="Sometimes",2,IF(Form_Responses[[#This Row],[5. In the last month, how often have you felt that things were going well in your studies or personal life?]]="Fairly often",1,0))))</f>
        <v>2</v>
      </c>
      <c r="BE46" s="3" t="s">
        <v>90</v>
      </c>
      <c r="BF46" s="4">
        <f>IF(Form_Responses[[#This Row],[6. In the last month, how often have you felt unable to cope with coursework, deadlines, or daily responsibilities?]]="Never",0,IF(Form_Responses[[#This Row],[6. In the last month, how often have you felt unable to cope with coursework, deadlines, or daily responsibilities?]]="Almost never",1,IF(Form_Responses[[#This Row],[6. In the last month, how often have you felt unable to cope with coursework, deadlines, or daily responsibilities?]]="Sometimes",2,IF(Form_Responses[[#This Row],[6. In the last month, how often have you felt unable to cope with coursework, deadlines, or daily responsibilities?]]="Fairly often",3,4))))</f>
        <v>1</v>
      </c>
      <c r="BG46" s="3" t="s">
        <v>89</v>
      </c>
      <c r="BH46" s="4">
        <f>IF(Form_Responses[[#This Row],[7. In the last month, how often have you been able to control irritations or frustrations in your life?]]="Never",4,IF(Form_Responses[[#This Row],[7. In the last month, how often have you been able to control irritations or frustrations in your life?]]="Almost never",3,IF(Form_Responses[[#This Row],[7. In the last month, how often have you been able to control irritations or frustrations in your life?]]="Sometimes",2,IF(Form_Responses[[#This Row],[7. In the last month, how often have you been able to control irritations or frustrations in your life?]]="Fairly often",1,0))))</f>
        <v>2</v>
      </c>
      <c r="BI46" s="3" t="s">
        <v>89</v>
      </c>
      <c r="BJ46" s="4">
        <f>IF(Form_Responses[[#This Row],[8. In the last month, how often have you felt that you were managing your academic and personal responsibilities well?]]="Never",4,IF(Form_Responses[[#This Row],[8. In the last month, how often have you felt that you were managing your academic and personal responsibilities well?]]="Almost never",3,IF(Form_Responses[[#This Row],[8. In the last month, how often have you felt that you were managing your academic and personal responsibilities well?]]="Sometimes",2,IF(Form_Responses[[#This Row],[8. In the last month, how often have you felt that you were managing your academic and personal responsibilities well?]]="Fairly often",1,0))))</f>
        <v>2</v>
      </c>
      <c r="BK46" s="3" t="s">
        <v>88</v>
      </c>
      <c r="BL46" s="5">
        <f>IF(Form_Responses[[#This Row],[9. In the last month, how often have you been angered or frustrated by situations outside your control, such as finances, academics, or relationships?]]="Never",0,IF(Form_Responses[[#This Row],[9. In the last month, how often have you been angered or frustrated by situations outside your control, such as finances, academics, or relationships?]]="Almost never",1,IF(Form_Responses[[#This Row],[9. In the last month, how often have you been angered or frustrated by situations outside your control, such as finances, academics, or relationships?]]="Sometimes",2,IF(Form_Responses[[#This Row],[9. In the last month, how often have you been angered or frustrated by situations outside your control, such as finances, academics, or relationships?]]="Fairly often",3,4))))</f>
        <v>3</v>
      </c>
      <c r="BM46" s="3" t="s">
        <v>88</v>
      </c>
      <c r="BN46" s="4">
        <f>IF(Form_Responses[[#This Row],[10. In the last month, how often have you felt that difficulties were piling up so much that you could not overcome them?]]="Never",0,IF(Form_Responses[[#This Row],[10. In the last month, how often have you felt that difficulties were piling up so much that you could not overcome them?]]="Almost never",1,IF(Form_Responses[[#This Row],[10. In the last month, how often have you felt that difficulties were piling up so much that you could not overcome them?]]="Sometimes",2,IF(Form_Responses[[#This Row],[10. In the last month, how often have you felt that difficulties were piling up so much that you could not overcome them?]]="Fairly often",3,4))))</f>
        <v>3</v>
      </c>
      <c r="BO46" s="4">
        <f>SUM(Form_Responses[[#This Row],[Score17]],Form_Responses[[#This Row],[Score18]],Form_Responses[[#This Row],[Score19]],Form_Responses[[#This Row],[Score20]],Form_Responses[[#This Row],[Score21]],Form_Responses[[#This Row],[Score22]],Form_Responses[[#This Row],[Score23]],Form_Responses[[#This Row],[Score24]],Form_Responses[[#This Row],[Score25]],Form_Responses[[#This Row],[Score26]])</f>
        <v>21</v>
      </c>
      <c r="BP46" s="4" t="str">
        <f>IF(Form_Responses[[#This Row],[Anxiety Score2]]&lt;=13,"Low stress",IF(Form_Responses[[#This Row],[Anxiety Score2]]&lt;=26,"Moderate stress","High stress"))</f>
        <v xml:space="preserve">Moderate stress</v>
      </c>
      <c r="BQ46" s="3" t="s">
        <v>76</v>
      </c>
      <c r="BR46" s="3" t="s">
        <v>76</v>
      </c>
      <c r="BS46" s="3" t="s">
        <v>319</v>
      </c>
      <c r="BT46" s="3" t="s">
        <v>320</v>
      </c>
      <c r="BU46" s="3" t="s">
        <v>76</v>
      </c>
      <c r="BV46" s="3" t="s">
        <v>299</v>
      </c>
      <c r="BW46" s="3" t="s">
        <v>216</v>
      </c>
      <c r="BX46" s="3" t="s">
        <v>321</v>
      </c>
    </row>
    <row r="47" ht="22.5" customHeight="1">
      <c r="A47" s="2">
        <v>46199.474169837966</v>
      </c>
      <c r="B47" s="3" t="s">
        <v>76</v>
      </c>
      <c r="C47" s="3" t="s">
        <v>77</v>
      </c>
      <c r="D47" s="3" t="s">
        <v>78</v>
      </c>
      <c r="E47" s="3" t="s">
        <v>79</v>
      </c>
      <c r="F47" s="3" t="s">
        <v>322</v>
      </c>
      <c r="G47" s="3" t="s">
        <v>81</v>
      </c>
      <c r="H47" s="3" t="s">
        <v>122</v>
      </c>
      <c r="I47" s="3" t="s">
        <v>83</v>
      </c>
      <c r="J47" s="3" t="s">
        <v>84</v>
      </c>
      <c r="K47" s="3" t="s">
        <v>86</v>
      </c>
      <c r="L47" s="4">
        <f>IF(K47="Not at all",0,IF(K47="Several days",1,IF(K47="More than half the days",2,3)))</f>
        <v>1</v>
      </c>
      <c r="M47" s="3" t="s">
        <v>85</v>
      </c>
      <c r="N47" s="4">
        <f>IF(M47="Not at all",0,IF(M47="Several days",1,IF(M47="More than half the days",2,3)))</f>
        <v>0</v>
      </c>
      <c r="O47" s="3" t="s">
        <v>85</v>
      </c>
      <c r="P47" s="5">
        <f>IF(O47="Not at all",0,IF(O47="Several days",1,IF(O47="More than half the days",2,3)))</f>
        <v>0</v>
      </c>
      <c r="Q47" s="3" t="s">
        <v>85</v>
      </c>
      <c r="R47" s="4">
        <f>IF(Q47="Not at all",0,IF(Q47="Several days",1,IF(Q47="More than half the days",2,3)))</f>
        <v>0</v>
      </c>
      <c r="S47" s="3" t="s">
        <v>85</v>
      </c>
      <c r="T47" s="4">
        <f>IF(S47="Not at all",0,IF(S47="Several days",1,IF(S47="More than half the days",2,3)))</f>
        <v>0</v>
      </c>
      <c r="U47" s="3" t="s">
        <v>85</v>
      </c>
      <c r="V47" s="4">
        <f>IF(U47="Not at all",0,IF(U47="Several days",1,IF(U47="More than half the days",2,3)))</f>
        <v>0</v>
      </c>
      <c r="W47" s="3" t="s">
        <v>86</v>
      </c>
      <c r="X47" s="4">
        <f>IF(W47="Not at all",0,IF(W47="Several days",1,IF(W47="More than half the days",2,3)))</f>
        <v>1</v>
      </c>
      <c r="Y47" s="3" t="s">
        <v>85</v>
      </c>
      <c r="Z47" s="4">
        <f>IF(Y47="Not at all",0,IF(Y47="Several days",1,IF(Y47="More than half the days",2,3)))</f>
        <v>0</v>
      </c>
      <c r="AA47" s="3" t="s">
        <v>85</v>
      </c>
      <c r="AB47" s="4">
        <f>IF(AA47="Not at all",0,IF(AA47="Several days",1,IF(AA47="More than half the days",2,3)))</f>
        <v>0</v>
      </c>
      <c r="AC47" s="4">
        <f>SUM(Form_Responses[[#This Row],[Score]],Form_Responses[[#This Row],[Score2]],Form_Responses[[#This Row],[Score3]],Form_Responses[[#This Row],[Score4]],Form_Responses[[#This Row],[Score5]],Form_Responses[[#This Row],[Score6]],Form_Responses[[#This Row],[Score7]],Form_Responses[[#This Row],[Score8]],Form_Responses[[#This Row],[Score9]])</f>
        <v>2</v>
      </c>
      <c r="AD47" s="4" t="str">
        <f>IF(Form_Responses[[#This Row],[Depression Score ]]&lt;=4,"Minimal symptoms",IF(Form_Responses[[#This Row],[Depression Score ]]&lt;=9,"Mild Depression",IF(Form_Responses[[#This Row],[Depression Score ]]&lt;=14,"Moderate depression",IF(Form_Responses[[#This Row],[Depression Score ]]&lt;=19,"Moderately severe depression","Severe depression"))))</f>
        <v xml:space="preserve">Minimal symptoms</v>
      </c>
      <c r="AE47" s="3" t="s">
        <v>86</v>
      </c>
      <c r="AF47" s="4">
        <f>IF(AE47="Not at all",0,IF(AE47="Several days",1,IF(AE47="More than half the days",2,3)))</f>
        <v>1</v>
      </c>
      <c r="AG47" s="3" t="s">
        <v>86</v>
      </c>
      <c r="AH47" s="4">
        <f>IF(AG47="Not at all",0,IF(AG47="Several days",1,IF(AG47="More than half the days",2,3)))</f>
        <v>1</v>
      </c>
      <c r="AI47" s="3" t="s">
        <v>86</v>
      </c>
      <c r="AJ47" s="4">
        <f>IF(AI47="Not at all",0,IF(AI47="Several days",1,IF(AI47="More than half the days",2,3)))</f>
        <v>1</v>
      </c>
      <c r="AK47" s="3" t="s">
        <v>86</v>
      </c>
      <c r="AL47" s="4">
        <f>IF(AK47="Not at all",0,IF(AK47="Several days",1,IF(AK47="More than half the days",2,3)))</f>
        <v>1</v>
      </c>
      <c r="AM47" s="3" t="s">
        <v>85</v>
      </c>
      <c r="AN47" s="4">
        <f>IF(AM47="Not at all",0,IF(AM47="Several days",1,IF(AM47="More than half the days",2,3)))</f>
        <v>0</v>
      </c>
      <c r="AO47" s="3" t="s">
        <v>85</v>
      </c>
      <c r="AP47" s="4">
        <f>IF(AO47="Not at all",0,IF(AO47="Several days",1,IF(AO47="More than half the days",2,3)))</f>
        <v>0</v>
      </c>
      <c r="AQ47" s="3" t="s">
        <v>85</v>
      </c>
      <c r="AR47" s="4">
        <f>IF(AQ47="Not at all",0,IF(AQ47="Several days",1,IF(AQ47="More than half the days",2,3)))</f>
        <v>0</v>
      </c>
      <c r="AS47" s="4">
        <f>SUM(Form_Responses[[#This Row],[Score16]],Form_Responses[[#This Row],[Score10]],Form_Responses[[#This Row],[Score11]],Form_Responses[[#This Row],[Score12]],Form_Responses[[#This Row],[Score13]],Form_Responses[[#This Row],[Score14]],Form_Responses[[#This Row],[Score15]])</f>
        <v>4</v>
      </c>
      <c r="AT47" s="4" t="str">
        <f>IF(Form_Responses[[#This Row],[Anxiety Score]]&lt;=4,"Minimal anxiety",IF(Form_Responses[[#This Row],[Anxiety Score]]&lt;=9,"Mild anxiety",IF(Form_Responses[[#This Row],[Anxiety Score]]&lt;=14,"Moderate anxiety","Severe anxiety")))</f>
        <v xml:space="preserve">Minimal anxiety</v>
      </c>
      <c r="AU47" s="3" t="s">
        <v>89</v>
      </c>
      <c r="AV47" s="4">
        <f>IF(Form_Responses[[#This Row],[1. In the last month, how often have you been upset because of unexpected situations related to academics, finances, or personal life?]]="Never",0,IF(Form_Responses[[#This Row],[1. In the last month, how often have you been upset because of unexpected situations related to academics, finances, or personal life?]]="Almost never",1,IF(Form_Responses[[#This Row],[1. In the last month, how often have you been upset because of unexpected situations related to academics, finances, or personal life?]]="Sometimes",2,IF(Form_Responses[[#This Row],[1. In the last month, how often have you been upset because of unexpected situations related to academics, finances, or personal life?]]="Fairly often",3,4))))</f>
        <v>2</v>
      </c>
      <c r="AW47" s="3" t="s">
        <v>88</v>
      </c>
      <c r="AX47" s="5">
        <f>IF(Form_Responses[[#This Row],[2. In the last month, how often have you felt unable to control important things in your academic or personal life?]]="Never",0,IF(Form_Responses[[#This Row],[2. In the last month, how often have you felt unable to control important things in your academic or personal life?]]="Almost never",1,IF(Form_Responses[[#This Row],[2. In the last month, how often have you felt unable to control important things in your academic or personal life?]]="Sometimes",2,IF(Form_Responses[[#This Row],[2. In the last month, how often have you felt unable to control important things in your academic or personal life?]]="Fairly often",3,4))))</f>
        <v>3</v>
      </c>
      <c r="AY47" s="3" t="s">
        <v>90</v>
      </c>
      <c r="AZ47" s="4">
        <f>IF(Form_Responses[[#This Row],[3. In the last month, how often have you felt nervous or stressed because of university responsibilities or personal challenges?]]="Never",0,IF(Form_Responses[[#This Row],[3. In the last month, how often have you felt nervous or stressed because of university responsibilities or personal challenges?]]="Almost never",1,IF(Form_Responses[[#This Row],[3. In the last month, how often have you felt nervous or stressed because of university responsibilities or personal challenges?]]="Sometimes",2,IF(Form_Responses[[#This Row],[3. In the last month, how often have you felt nervous or stressed because of university responsibilities or personal challenges?]]="Fairly often",3,4))))</f>
        <v>1</v>
      </c>
      <c r="BA47" s="3" t="s">
        <v>89</v>
      </c>
      <c r="BB47" s="4">
        <f>IF(Form_Responses[[#This Row],[4. In the last month, how often have you felt confident about your ability to handle academic or personal problems?]]="Never",4,IF(Form_Responses[[#This Row],[4. In the last month, how often have you felt confident about your ability to handle academic or personal problems?]]="Almost never",3,IF(Form_Responses[[#This Row],[4. In the last month, how often have you felt confident about your ability to handle academic or personal problems?]]="Sometimes",2,IF(Form_Responses[[#This Row],[4. In the last month, how often have you felt confident about your ability to handle academic or personal problems?]]="Fairly often",1,0))))</f>
        <v>2</v>
      </c>
      <c r="BC47" s="3" t="s">
        <v>88</v>
      </c>
      <c r="BD47" s="4">
        <f>IF(Form_Responses[[#This Row],[5. In the last month, how often have you felt that things were going well in your studies or personal life?]]="Never",4,IF(Form_Responses[[#This Row],[5. In the last month, how often have you felt that things were going well in your studies or personal life?]]="Almost never",3,IF(Form_Responses[[#This Row],[5. In the last month, how often have you felt that things were going well in your studies or personal life?]]="Sometimes",2,IF(Form_Responses[[#This Row],[5. In the last month, how often have you felt that things were going well in your studies or personal life?]]="Fairly often",1,0))))</f>
        <v>1</v>
      </c>
      <c r="BE47" s="3" t="s">
        <v>88</v>
      </c>
      <c r="BF47" s="4">
        <f>IF(Form_Responses[[#This Row],[6. In the last month, how often have you felt unable to cope with coursework, deadlines, or daily responsibilities?]]="Never",0,IF(Form_Responses[[#This Row],[6. In the last month, how often have you felt unable to cope with coursework, deadlines, or daily responsibilities?]]="Almost never",1,IF(Form_Responses[[#This Row],[6. In the last month, how often have you felt unable to cope with coursework, deadlines, or daily responsibilities?]]="Sometimes",2,IF(Form_Responses[[#This Row],[6. In the last month, how often have you felt unable to cope with coursework, deadlines, or daily responsibilities?]]="Fairly often",3,4))))</f>
        <v>3</v>
      </c>
      <c r="BG47" s="3" t="s">
        <v>105</v>
      </c>
      <c r="BH47" s="4">
        <f>IF(Form_Responses[[#This Row],[7. In the last month, how often have you been able to control irritations or frustrations in your life?]]="Never",4,IF(Form_Responses[[#This Row],[7. In the last month, how often have you been able to control irritations or frustrations in your life?]]="Almost never",3,IF(Form_Responses[[#This Row],[7. In the last month, how often have you been able to control irritations or frustrations in your life?]]="Sometimes",2,IF(Form_Responses[[#This Row],[7. In the last month, how often have you been able to control irritations or frustrations in your life?]]="Fairly often",1,0))))</f>
        <v>0</v>
      </c>
      <c r="BI47" s="3" t="s">
        <v>88</v>
      </c>
      <c r="BJ47" s="4">
        <f>IF(Form_Responses[[#This Row],[8. In the last month, how often have you felt that you were managing your academic and personal responsibilities well?]]="Never",4,IF(Form_Responses[[#This Row],[8. In the last month, how often have you felt that you were managing your academic and personal responsibilities well?]]="Almost never",3,IF(Form_Responses[[#This Row],[8. In the last month, how often have you felt that you were managing your academic and personal responsibilities well?]]="Sometimes",2,IF(Form_Responses[[#This Row],[8. In the last month, how often have you felt that you were managing your academic and personal responsibilities well?]]="Fairly often",1,0))))</f>
        <v>1</v>
      </c>
      <c r="BK47" s="3" t="s">
        <v>89</v>
      </c>
      <c r="BL47" s="5">
        <f>IF(Form_Responses[[#This Row],[9. In the last month, how often have you been angered or frustrated by situations outside your control, such as finances, academics, or relationships?]]="Never",0,IF(Form_Responses[[#This Row],[9. In the last month, how often have you been angered or frustrated by situations outside your control, such as finances, academics, or relationships?]]="Almost never",1,IF(Form_Responses[[#This Row],[9. In the last month, how often have you been angered or frustrated by situations outside your control, such as finances, academics, or relationships?]]="Sometimes",2,IF(Form_Responses[[#This Row],[9. In the last month, how often have you been angered or frustrated by situations outside your control, such as finances, academics, or relationships?]]="Fairly often",3,4))))</f>
        <v>2</v>
      </c>
      <c r="BM47" s="3" t="s">
        <v>88</v>
      </c>
      <c r="BN47" s="4">
        <f>IF(Form_Responses[[#This Row],[10. In the last month, how often have you felt that difficulties were piling up so much that you could not overcome them?]]="Never",0,IF(Form_Responses[[#This Row],[10. In the last month, how often have you felt that difficulties were piling up so much that you could not overcome them?]]="Almost never",1,IF(Form_Responses[[#This Row],[10. In the last month, how often have you felt that difficulties were piling up so much that you could not overcome them?]]="Sometimes",2,IF(Form_Responses[[#This Row],[10. In the last month, how often have you felt that difficulties were piling up so much that you could not overcome them?]]="Fairly often",3,4))))</f>
        <v>3</v>
      </c>
      <c r="BO47" s="4">
        <f>SUM(Form_Responses[[#This Row],[Score17]],Form_Responses[[#This Row],[Score18]],Form_Responses[[#This Row],[Score19]],Form_Responses[[#This Row],[Score20]],Form_Responses[[#This Row],[Score21]],Form_Responses[[#This Row],[Score22]],Form_Responses[[#This Row],[Score23]],Form_Responses[[#This Row],[Score24]],Form_Responses[[#This Row],[Score25]],Form_Responses[[#This Row],[Score26]])</f>
        <v>18</v>
      </c>
      <c r="BP47" s="4" t="str">
        <f>IF(Form_Responses[[#This Row],[Anxiety Score2]]&lt;=13,"Low stress",IF(Form_Responses[[#This Row],[Anxiety Score2]]&lt;=26,"Moderate stress","High stress"))</f>
        <v xml:space="preserve">Moderate stress</v>
      </c>
      <c r="BQ47" s="3" t="s">
        <v>91</v>
      </c>
      <c r="BR47" s="3" t="s">
        <v>106</v>
      </c>
      <c r="BS47" s="3" t="s">
        <v>232</v>
      </c>
      <c r="BT47" s="3" t="s">
        <v>108</v>
      </c>
      <c r="BU47" s="3" t="s">
        <v>76</v>
      </c>
      <c r="BV47" s="3" t="s">
        <v>323</v>
      </c>
      <c r="BW47" s="3" t="s">
        <v>324</v>
      </c>
      <c r="BX47" s="3" t="s">
        <v>325</v>
      </c>
    </row>
    <row r="48" ht="22.5" customHeight="1">
      <c r="A48" s="2">
        <v>46199.479107361112</v>
      </c>
      <c r="B48" s="3" t="s">
        <v>76</v>
      </c>
      <c r="C48" s="3" t="s">
        <v>77</v>
      </c>
      <c r="D48" s="3" t="s">
        <v>112</v>
      </c>
      <c r="E48" s="3" t="s">
        <v>326</v>
      </c>
      <c r="F48" s="3" t="s">
        <v>327</v>
      </c>
      <c r="G48" s="3" t="s">
        <v>100</v>
      </c>
      <c r="H48" s="3" t="s">
        <v>82</v>
      </c>
      <c r="I48" s="3" t="s">
        <v>83</v>
      </c>
      <c r="J48" s="3" t="s">
        <v>84</v>
      </c>
      <c r="K48" s="3" t="s">
        <v>85</v>
      </c>
      <c r="L48" s="4">
        <f>IF(K48="Not at all",0,IF(K48="Several days",1,IF(K48="More than half the days",2,3)))</f>
        <v>0</v>
      </c>
      <c r="M48" s="3" t="s">
        <v>86</v>
      </c>
      <c r="N48" s="4">
        <f>IF(M48="Not at all",0,IF(M48="Several days",1,IF(M48="More than half the days",2,3)))</f>
        <v>1</v>
      </c>
      <c r="O48" s="3" t="s">
        <v>104</v>
      </c>
      <c r="P48" s="5">
        <f>IF(O48="Not at all",0,IF(O48="Several days",1,IF(O48="More than half the days",2,3)))</f>
        <v>3</v>
      </c>
      <c r="Q48" s="3" t="s">
        <v>87</v>
      </c>
      <c r="R48" s="4">
        <f>IF(Q48="Not at all",0,IF(Q48="Several days",1,IF(Q48="More than half the days",2,3)))</f>
        <v>2</v>
      </c>
      <c r="S48" s="3" t="s">
        <v>86</v>
      </c>
      <c r="T48" s="4">
        <f>IF(S48="Not at all",0,IF(S48="Several days",1,IF(S48="More than half the days",2,3)))</f>
        <v>1</v>
      </c>
      <c r="U48" s="3" t="s">
        <v>86</v>
      </c>
      <c r="V48" s="4">
        <f>IF(U48="Not at all",0,IF(U48="Several days",1,IF(U48="More than half the days",2,3)))</f>
        <v>1</v>
      </c>
      <c r="W48" s="3" t="s">
        <v>86</v>
      </c>
      <c r="X48" s="4">
        <f>IF(W48="Not at all",0,IF(W48="Several days",1,IF(W48="More than half the days",2,3)))</f>
        <v>1</v>
      </c>
      <c r="Y48" s="3" t="s">
        <v>85</v>
      </c>
      <c r="Z48" s="4">
        <f>IF(Y48="Not at all",0,IF(Y48="Several days",1,IF(Y48="More than half the days",2,3)))</f>
        <v>0</v>
      </c>
      <c r="AA48" s="3" t="s">
        <v>86</v>
      </c>
      <c r="AB48" s="4">
        <f>IF(AA48="Not at all",0,IF(AA48="Several days",1,IF(AA48="More than half the days",2,3)))</f>
        <v>1</v>
      </c>
      <c r="AC48" s="4">
        <f>SUM(Form_Responses[[#This Row],[Score]],Form_Responses[[#This Row],[Score2]],Form_Responses[[#This Row],[Score3]],Form_Responses[[#This Row],[Score4]],Form_Responses[[#This Row],[Score5]],Form_Responses[[#This Row],[Score6]],Form_Responses[[#This Row],[Score7]],Form_Responses[[#This Row],[Score8]],Form_Responses[[#This Row],[Score9]])</f>
        <v>10</v>
      </c>
      <c r="AD48" s="4" t="str">
        <f>IF(Form_Responses[[#This Row],[Depression Score ]]&lt;=4,"Minimal symptoms",IF(Form_Responses[[#This Row],[Depression Score ]]&lt;=9,"Mild Depression",IF(Form_Responses[[#This Row],[Depression Score ]]&lt;=14,"Moderate depression",IF(Form_Responses[[#This Row],[Depression Score ]]&lt;=19,"Moderately severe depression","Severe depression"))))</f>
        <v xml:space="preserve">Moderate depression</v>
      </c>
      <c r="AE48" s="3" t="s">
        <v>86</v>
      </c>
      <c r="AF48" s="4">
        <f>IF(AE48="Not at all",0,IF(AE48="Several days",1,IF(AE48="More than half the days",2,3)))</f>
        <v>1</v>
      </c>
      <c r="AG48" s="3" t="s">
        <v>86</v>
      </c>
      <c r="AH48" s="4">
        <f>IF(AG48="Not at all",0,IF(AG48="Several days",1,IF(AG48="More than half the days",2,3)))</f>
        <v>1</v>
      </c>
      <c r="AI48" s="3" t="s">
        <v>86</v>
      </c>
      <c r="AJ48" s="4">
        <f>IF(AI48="Not at all",0,IF(AI48="Several days",1,IF(AI48="More than half the days",2,3)))</f>
        <v>1</v>
      </c>
      <c r="AK48" s="3" t="s">
        <v>85</v>
      </c>
      <c r="AL48" s="4">
        <f>IF(AK48="Not at all",0,IF(AK48="Several days",1,IF(AK48="More than half the days",2,3)))</f>
        <v>0</v>
      </c>
      <c r="AM48" s="3" t="s">
        <v>85</v>
      </c>
      <c r="AN48" s="4">
        <f>IF(AM48="Not at all",0,IF(AM48="Several days",1,IF(AM48="More than half the days",2,3)))</f>
        <v>0</v>
      </c>
      <c r="AO48" s="3" t="s">
        <v>85</v>
      </c>
      <c r="AP48" s="4">
        <f>IF(AO48="Not at all",0,IF(AO48="Several days",1,IF(AO48="More than half the days",2,3)))</f>
        <v>0</v>
      </c>
      <c r="AQ48" s="3" t="s">
        <v>85</v>
      </c>
      <c r="AR48" s="4">
        <f>IF(AQ48="Not at all",0,IF(AQ48="Several days",1,IF(AQ48="More than half the days",2,3)))</f>
        <v>0</v>
      </c>
      <c r="AS48" s="4">
        <f>SUM(Form_Responses[[#This Row],[Score16]],Form_Responses[[#This Row],[Score10]],Form_Responses[[#This Row],[Score11]],Form_Responses[[#This Row],[Score12]],Form_Responses[[#This Row],[Score13]],Form_Responses[[#This Row],[Score14]],Form_Responses[[#This Row],[Score15]])</f>
        <v>3</v>
      </c>
      <c r="AT48" s="4" t="str">
        <f>IF(Form_Responses[[#This Row],[Anxiety Score]]&lt;=4,"Minimal anxiety",IF(Form_Responses[[#This Row],[Anxiety Score]]&lt;=9,"Mild anxiety",IF(Form_Responses[[#This Row],[Anxiety Score]]&lt;=14,"Moderate anxiety","Severe anxiety")))</f>
        <v xml:space="preserve">Minimal anxiety</v>
      </c>
      <c r="AU48" s="3" t="s">
        <v>89</v>
      </c>
      <c r="AV48" s="4">
        <f>IF(Form_Responses[[#This Row],[1. In the last month, how often have you been upset because of unexpected situations related to academics, finances, or personal life?]]="Never",0,IF(Form_Responses[[#This Row],[1. In the last month, how often have you been upset because of unexpected situations related to academics, finances, or personal life?]]="Almost never",1,IF(Form_Responses[[#This Row],[1. In the last month, how often have you been upset because of unexpected situations related to academics, finances, or personal life?]]="Sometimes",2,IF(Form_Responses[[#This Row],[1. In the last month, how often have you been upset because of unexpected situations related to academics, finances, or personal life?]]="Fairly often",3,4))))</f>
        <v>2</v>
      </c>
      <c r="AW48" s="3" t="s">
        <v>89</v>
      </c>
      <c r="AX48" s="5">
        <f>IF(Form_Responses[[#This Row],[2. In the last month, how often have you felt unable to control important things in your academic or personal life?]]="Never",0,IF(Form_Responses[[#This Row],[2. In the last month, how often have you felt unable to control important things in your academic or personal life?]]="Almost never",1,IF(Form_Responses[[#This Row],[2. In the last month, how often have you felt unable to control important things in your academic or personal life?]]="Sometimes",2,IF(Form_Responses[[#This Row],[2. In the last month, how often have you felt unable to control important things in your academic or personal life?]]="Fairly often",3,4))))</f>
        <v>2</v>
      </c>
      <c r="AY48" s="3" t="s">
        <v>124</v>
      </c>
      <c r="AZ48" s="4">
        <f>IF(Form_Responses[[#This Row],[3. In the last month, how often have you felt nervous or stressed because of university responsibilities or personal challenges?]]="Never",0,IF(Form_Responses[[#This Row],[3. In the last month, how often have you felt nervous or stressed because of university responsibilities or personal challenges?]]="Almost never",1,IF(Form_Responses[[#This Row],[3. In the last month, how often have you felt nervous or stressed because of university responsibilities or personal challenges?]]="Sometimes",2,IF(Form_Responses[[#This Row],[3. In the last month, how often have you felt nervous or stressed because of university responsibilities or personal challenges?]]="Fairly often",3,4))))</f>
        <v>0</v>
      </c>
      <c r="BA48" s="3" t="s">
        <v>89</v>
      </c>
      <c r="BB48" s="4">
        <f>IF(Form_Responses[[#This Row],[4. In the last month, how often have you felt confident about your ability to handle academic or personal problems?]]="Never",4,IF(Form_Responses[[#This Row],[4. In the last month, how often have you felt confident about your ability to handle academic or personal problems?]]="Almost never",3,IF(Form_Responses[[#This Row],[4. In the last month, how often have you felt confident about your ability to handle academic or personal problems?]]="Sometimes",2,IF(Form_Responses[[#This Row],[4. In the last month, how often have you felt confident about your ability to handle academic or personal problems?]]="Fairly often",1,0))))</f>
        <v>2</v>
      </c>
      <c r="BC48" s="3" t="s">
        <v>88</v>
      </c>
      <c r="BD48" s="4">
        <f>IF(Form_Responses[[#This Row],[5. In the last month, how often have you felt that things were going well in your studies or personal life?]]="Never",4,IF(Form_Responses[[#This Row],[5. In the last month, how often have you felt that things were going well in your studies or personal life?]]="Almost never",3,IF(Form_Responses[[#This Row],[5. In the last month, how often have you felt that things were going well in your studies or personal life?]]="Sometimes",2,IF(Form_Responses[[#This Row],[5. In the last month, how often have you felt that things were going well in your studies or personal life?]]="Fairly often",1,0))))</f>
        <v>1</v>
      </c>
      <c r="BE48" s="3" t="s">
        <v>89</v>
      </c>
      <c r="BF48" s="4">
        <f>IF(Form_Responses[[#This Row],[6. In the last month, how often have you felt unable to cope with coursework, deadlines, or daily responsibilities?]]="Never",0,IF(Form_Responses[[#This Row],[6. In the last month, how often have you felt unable to cope with coursework, deadlines, or daily responsibilities?]]="Almost never",1,IF(Form_Responses[[#This Row],[6. In the last month, how often have you felt unable to cope with coursework, deadlines, or daily responsibilities?]]="Sometimes",2,IF(Form_Responses[[#This Row],[6. In the last month, how often have you felt unable to cope with coursework, deadlines, or daily responsibilities?]]="Fairly often",3,4))))</f>
        <v>2</v>
      </c>
      <c r="BG48" s="3" t="s">
        <v>89</v>
      </c>
      <c r="BH48" s="4">
        <f>IF(Form_Responses[[#This Row],[7. In the last month, how often have you been able to control irritations or frustrations in your life?]]="Never",4,IF(Form_Responses[[#This Row],[7. In the last month, how often have you been able to control irritations or frustrations in your life?]]="Almost never",3,IF(Form_Responses[[#This Row],[7. In the last month, how often have you been able to control irritations or frustrations in your life?]]="Sometimes",2,IF(Form_Responses[[#This Row],[7. In the last month, how often have you been able to control irritations or frustrations in your life?]]="Fairly often",1,0))))</f>
        <v>2</v>
      </c>
      <c r="BI48" s="3" t="s">
        <v>89</v>
      </c>
      <c r="BJ48" s="4">
        <f>IF(Form_Responses[[#This Row],[8. In the last month, how often have you felt that you were managing your academic and personal responsibilities well?]]="Never",4,IF(Form_Responses[[#This Row],[8. In the last month, how often have you felt that you were managing your academic and personal responsibilities well?]]="Almost never",3,IF(Form_Responses[[#This Row],[8. In the last month, how often have you felt that you were managing your academic and personal responsibilities well?]]="Sometimes",2,IF(Form_Responses[[#This Row],[8. In the last month, how often have you felt that you were managing your academic and personal responsibilities well?]]="Fairly often",1,0))))</f>
        <v>2</v>
      </c>
      <c r="BK48" s="3" t="s">
        <v>89</v>
      </c>
      <c r="BL48" s="5">
        <f>IF(Form_Responses[[#This Row],[9. In the last month, how often have you been angered or frustrated by situations outside your control, such as finances, academics, or relationships?]]="Never",0,IF(Form_Responses[[#This Row],[9. In the last month, how often have you been angered or frustrated by situations outside your control, such as finances, academics, or relationships?]]="Almost never",1,IF(Form_Responses[[#This Row],[9. In the last month, how often have you been angered or frustrated by situations outside your control, such as finances, academics, or relationships?]]="Sometimes",2,IF(Form_Responses[[#This Row],[9. In the last month, how often have you been angered or frustrated by situations outside your control, such as finances, academics, or relationships?]]="Fairly often",3,4))))</f>
        <v>2</v>
      </c>
      <c r="BM48" s="3" t="s">
        <v>124</v>
      </c>
      <c r="BN48" s="4">
        <f>IF(Form_Responses[[#This Row],[10. In the last month, how often have you felt that difficulties were piling up so much that you could not overcome them?]]="Never",0,IF(Form_Responses[[#This Row],[10. In the last month, how often have you felt that difficulties were piling up so much that you could not overcome them?]]="Almost never",1,IF(Form_Responses[[#This Row],[10. In the last month, how often have you felt that difficulties were piling up so much that you could not overcome them?]]="Sometimes",2,IF(Form_Responses[[#This Row],[10. In the last month, how often have you felt that difficulties were piling up so much that you could not overcome them?]]="Fairly often",3,4))))</f>
        <v>0</v>
      </c>
      <c r="BO48" s="4">
        <f>SUM(Form_Responses[[#This Row],[Score17]],Form_Responses[[#This Row],[Score18]],Form_Responses[[#This Row],[Score19]],Form_Responses[[#This Row],[Score20]],Form_Responses[[#This Row],[Score21]],Form_Responses[[#This Row],[Score22]],Form_Responses[[#This Row],[Score23]],Form_Responses[[#This Row],[Score24]],Form_Responses[[#This Row],[Score25]],Form_Responses[[#This Row],[Score26]])</f>
        <v>15</v>
      </c>
      <c r="BP48" s="4" t="str">
        <f>IF(Form_Responses[[#This Row],[Anxiety Score2]]&lt;=13,"Low stress",IF(Form_Responses[[#This Row],[Anxiety Score2]]&lt;=26,"Moderate stress","High stress"))</f>
        <v xml:space="preserve">Moderate stress</v>
      </c>
      <c r="BQ48" s="3" t="s">
        <v>91</v>
      </c>
      <c r="BR48" s="3" t="s">
        <v>106</v>
      </c>
      <c r="BS48" s="3" t="s">
        <v>328</v>
      </c>
      <c r="BT48" s="3" t="s">
        <v>264</v>
      </c>
      <c r="BU48" s="3" t="s">
        <v>76</v>
      </c>
      <c r="BV48" s="3" t="s">
        <v>329</v>
      </c>
      <c r="BW48" s="3" t="s">
        <v>330</v>
      </c>
      <c r="BX48" s="3" t="s">
        <v>331</v>
      </c>
    </row>
    <row r="49" ht="22.5" customHeight="1">
      <c r="A49" s="2">
        <v>46199.479805601848</v>
      </c>
      <c r="B49" s="3" t="s">
        <v>76</v>
      </c>
      <c r="C49" s="3" t="s">
        <v>77</v>
      </c>
      <c r="D49" s="3" t="s">
        <v>78</v>
      </c>
      <c r="E49" s="3" t="s">
        <v>98</v>
      </c>
      <c r="F49" s="3" t="s">
        <v>332</v>
      </c>
      <c r="G49" s="3" t="s">
        <v>81</v>
      </c>
      <c r="H49" s="3" t="s">
        <v>101</v>
      </c>
      <c r="I49" s="3" t="s">
        <v>83</v>
      </c>
      <c r="J49" s="3" t="s">
        <v>160</v>
      </c>
      <c r="K49" s="3" t="s">
        <v>86</v>
      </c>
      <c r="L49" s="4">
        <f>IF(K49="Not at all",0,IF(K49="Several days",1,IF(K49="More than half the days",2,3)))</f>
        <v>1</v>
      </c>
      <c r="M49" s="3" t="s">
        <v>104</v>
      </c>
      <c r="N49" s="4">
        <f>IF(M49="Not at all",0,IF(M49="Several days",1,IF(M49="More than half the days",2,3)))</f>
        <v>3</v>
      </c>
      <c r="O49" s="3" t="s">
        <v>85</v>
      </c>
      <c r="P49" s="5">
        <f>IF(O49="Not at all",0,IF(O49="Several days",1,IF(O49="More than half the days",2,3)))</f>
        <v>0</v>
      </c>
      <c r="Q49" s="3" t="s">
        <v>86</v>
      </c>
      <c r="R49" s="4">
        <f>IF(Q49="Not at all",0,IF(Q49="Several days",1,IF(Q49="More than half the days",2,3)))</f>
        <v>1</v>
      </c>
      <c r="S49" s="3" t="s">
        <v>86</v>
      </c>
      <c r="T49" s="4">
        <f>IF(S49="Not at all",0,IF(S49="Several days",1,IF(S49="More than half the days",2,3)))</f>
        <v>1</v>
      </c>
      <c r="U49" s="3" t="s">
        <v>104</v>
      </c>
      <c r="V49" s="4">
        <f>IF(U49="Not at all",0,IF(U49="Several days",1,IF(U49="More than half the days",2,3)))</f>
        <v>3</v>
      </c>
      <c r="W49" s="3" t="s">
        <v>86</v>
      </c>
      <c r="X49" s="4">
        <f>IF(W49="Not at all",0,IF(W49="Several days",1,IF(W49="More than half the days",2,3)))</f>
        <v>1</v>
      </c>
      <c r="Y49" s="3" t="s">
        <v>86</v>
      </c>
      <c r="Z49" s="4">
        <f>IF(Y49="Not at all",0,IF(Y49="Several days",1,IF(Y49="More than half the days",2,3)))</f>
        <v>1</v>
      </c>
      <c r="AA49" s="3" t="s">
        <v>87</v>
      </c>
      <c r="AB49" s="4">
        <f>IF(AA49="Not at all",0,IF(AA49="Several days",1,IF(AA49="More than half the days",2,3)))</f>
        <v>2</v>
      </c>
      <c r="AC49" s="4">
        <f>SUM(Form_Responses[[#This Row],[Score]],Form_Responses[[#This Row],[Score2]],Form_Responses[[#This Row],[Score3]],Form_Responses[[#This Row],[Score4]],Form_Responses[[#This Row],[Score5]],Form_Responses[[#This Row],[Score6]],Form_Responses[[#This Row],[Score7]],Form_Responses[[#This Row],[Score8]],Form_Responses[[#This Row],[Score9]])</f>
        <v>13</v>
      </c>
      <c r="AD49" s="4" t="str">
        <f>IF(Form_Responses[[#This Row],[Depression Score ]]&lt;=4,"Minimal symptoms",IF(Form_Responses[[#This Row],[Depression Score ]]&lt;=9,"Mild Depression",IF(Form_Responses[[#This Row],[Depression Score ]]&lt;=14,"Moderate depression",IF(Form_Responses[[#This Row],[Depression Score ]]&lt;=19,"Moderately severe depression","Severe depression"))))</f>
        <v xml:space="preserve">Moderate depression</v>
      </c>
      <c r="AE49" s="3" t="s">
        <v>115</v>
      </c>
      <c r="AF49" s="4">
        <f>IF(AE49="Not at all",0,IF(AE49="Several days",1,IF(AE49="More than half the days",2,3)))</f>
        <v>3</v>
      </c>
      <c r="AG49" s="3" t="s">
        <v>86</v>
      </c>
      <c r="AH49" s="4">
        <f>IF(AG49="Not at all",0,IF(AG49="Several days",1,IF(AG49="More than half the days",2,3)))</f>
        <v>1</v>
      </c>
      <c r="AI49" s="3" t="s">
        <v>87</v>
      </c>
      <c r="AJ49" s="4">
        <f>IF(AI49="Not at all",0,IF(AI49="Several days",1,IF(AI49="More than half the days",2,3)))</f>
        <v>2</v>
      </c>
      <c r="AK49" s="3" t="s">
        <v>86</v>
      </c>
      <c r="AL49" s="4">
        <f>IF(AK49="Not at all",0,IF(AK49="Several days",1,IF(AK49="More than half the days",2,3)))</f>
        <v>1</v>
      </c>
      <c r="AM49" s="3" t="s">
        <v>104</v>
      </c>
      <c r="AN49" s="4">
        <f>IF(AM49="Not at all",0,IF(AM49="Several days",1,IF(AM49="More than half the days",2,3)))</f>
        <v>3</v>
      </c>
      <c r="AO49" s="3" t="s">
        <v>104</v>
      </c>
      <c r="AP49" s="4">
        <f>IF(AO49="Not at all",0,IF(AO49="Several days",1,IF(AO49="More than half the days",2,3)))</f>
        <v>3</v>
      </c>
      <c r="AQ49" s="3" t="s">
        <v>85</v>
      </c>
      <c r="AR49" s="4">
        <f>IF(AQ49="Not at all",0,IF(AQ49="Several days",1,IF(AQ49="More than half the days",2,3)))</f>
        <v>0</v>
      </c>
      <c r="AS49" s="4">
        <f>SUM(Form_Responses[[#This Row],[Score16]],Form_Responses[[#This Row],[Score10]],Form_Responses[[#This Row],[Score11]],Form_Responses[[#This Row],[Score12]],Form_Responses[[#This Row],[Score13]],Form_Responses[[#This Row],[Score14]],Form_Responses[[#This Row],[Score15]])</f>
        <v>13</v>
      </c>
      <c r="AT49" s="4" t="str">
        <f>IF(Form_Responses[[#This Row],[Anxiety Score]]&lt;=4,"Minimal anxiety",IF(Form_Responses[[#This Row],[Anxiety Score]]&lt;=9,"Mild anxiety",IF(Form_Responses[[#This Row],[Anxiety Score]]&lt;=14,"Moderate anxiety","Severe anxiety")))</f>
        <v xml:space="preserve">Moderate anxiety</v>
      </c>
      <c r="AU49" s="3" t="s">
        <v>89</v>
      </c>
      <c r="AV49" s="4">
        <f>IF(Form_Responses[[#This Row],[1. In the last month, how often have you been upset because of unexpected situations related to academics, finances, or personal life?]]="Never",0,IF(Form_Responses[[#This Row],[1. In the last month, how often have you been upset because of unexpected situations related to academics, finances, or personal life?]]="Almost never",1,IF(Form_Responses[[#This Row],[1. In the last month, how often have you been upset because of unexpected situations related to academics, finances, or personal life?]]="Sometimes",2,IF(Form_Responses[[#This Row],[1. In the last month, how often have you been upset because of unexpected situations related to academics, finances, or personal life?]]="Fairly often",3,4))))</f>
        <v>2</v>
      </c>
      <c r="AW49" s="3" t="s">
        <v>88</v>
      </c>
      <c r="AX49" s="5">
        <f>IF(Form_Responses[[#This Row],[2. In the last month, how often have you felt unable to control important things in your academic or personal life?]]="Never",0,IF(Form_Responses[[#This Row],[2. In the last month, how often have you felt unable to control important things in your academic or personal life?]]="Almost never",1,IF(Form_Responses[[#This Row],[2. In the last month, how often have you felt unable to control important things in your academic or personal life?]]="Sometimes",2,IF(Form_Responses[[#This Row],[2. In the last month, how often have you felt unable to control important things in your academic or personal life?]]="Fairly often",3,4))))</f>
        <v>3</v>
      </c>
      <c r="AY49" s="3" t="s">
        <v>90</v>
      </c>
      <c r="AZ49" s="4">
        <f>IF(Form_Responses[[#This Row],[3. In the last month, how often have you felt nervous or stressed because of university responsibilities or personal challenges?]]="Never",0,IF(Form_Responses[[#This Row],[3. In the last month, how often have you felt nervous or stressed because of university responsibilities or personal challenges?]]="Almost never",1,IF(Form_Responses[[#This Row],[3. In the last month, how often have you felt nervous or stressed because of university responsibilities or personal challenges?]]="Sometimes",2,IF(Form_Responses[[#This Row],[3. In the last month, how often have you felt nervous or stressed because of university responsibilities or personal challenges?]]="Fairly often",3,4))))</f>
        <v>1</v>
      </c>
      <c r="BA49" s="3" t="s">
        <v>105</v>
      </c>
      <c r="BB49" s="4">
        <f>IF(Form_Responses[[#This Row],[4. In the last month, how often have you felt confident about your ability to handle academic or personal problems?]]="Never",4,IF(Form_Responses[[#This Row],[4. In the last month, how often have you felt confident about your ability to handle academic or personal problems?]]="Almost never",3,IF(Form_Responses[[#This Row],[4. In the last month, how often have you felt confident about your ability to handle academic or personal problems?]]="Sometimes",2,IF(Form_Responses[[#This Row],[4. In the last month, how often have you felt confident about your ability to handle academic or personal problems?]]="Fairly often",1,0))))</f>
        <v>0</v>
      </c>
      <c r="BC49" s="3" t="s">
        <v>89</v>
      </c>
      <c r="BD49" s="4">
        <f>IF(Form_Responses[[#This Row],[5. In the last month, how often have you felt that things were going well in your studies or personal life?]]="Never",4,IF(Form_Responses[[#This Row],[5. In the last month, how often have you felt that things were going well in your studies or personal life?]]="Almost never",3,IF(Form_Responses[[#This Row],[5. In the last month, how often have you felt that things were going well in your studies or personal life?]]="Sometimes",2,IF(Form_Responses[[#This Row],[5. In the last month, how often have you felt that things were going well in your studies or personal life?]]="Fairly often",1,0))))</f>
        <v>2</v>
      </c>
      <c r="BE49" s="3" t="s">
        <v>90</v>
      </c>
      <c r="BF49" s="4">
        <f>IF(Form_Responses[[#This Row],[6. In the last month, how often have you felt unable to cope with coursework, deadlines, or daily responsibilities?]]="Never",0,IF(Form_Responses[[#This Row],[6. In the last month, how often have you felt unable to cope with coursework, deadlines, or daily responsibilities?]]="Almost never",1,IF(Form_Responses[[#This Row],[6. In the last month, how often have you felt unable to cope with coursework, deadlines, or daily responsibilities?]]="Sometimes",2,IF(Form_Responses[[#This Row],[6. In the last month, how often have you felt unable to cope with coursework, deadlines, or daily responsibilities?]]="Fairly often",3,4))))</f>
        <v>1</v>
      </c>
      <c r="BG49" s="3" t="s">
        <v>105</v>
      </c>
      <c r="BH49" s="4">
        <f>IF(Form_Responses[[#This Row],[7. In the last month, how often have you been able to control irritations or frustrations in your life?]]="Never",4,IF(Form_Responses[[#This Row],[7. In the last month, how often have you been able to control irritations or frustrations in your life?]]="Almost never",3,IF(Form_Responses[[#This Row],[7. In the last month, how often have you been able to control irritations or frustrations in your life?]]="Sometimes",2,IF(Form_Responses[[#This Row],[7. In the last month, how often have you been able to control irritations or frustrations in your life?]]="Fairly often",1,0))))</f>
        <v>0</v>
      </c>
      <c r="BI49" s="3" t="s">
        <v>105</v>
      </c>
      <c r="BJ49" s="4">
        <f>IF(Form_Responses[[#This Row],[8. In the last month, how often have you felt that you were managing your academic and personal responsibilities well?]]="Never",4,IF(Form_Responses[[#This Row],[8. In the last month, how often have you felt that you were managing your academic and personal responsibilities well?]]="Almost never",3,IF(Form_Responses[[#This Row],[8. In the last month, how often have you felt that you were managing your academic and personal responsibilities well?]]="Sometimes",2,IF(Form_Responses[[#This Row],[8. In the last month, how often have you felt that you were managing your academic and personal responsibilities well?]]="Fairly often",1,0))))</f>
        <v>0</v>
      </c>
      <c r="BK49" s="3" t="s">
        <v>90</v>
      </c>
      <c r="BL49" s="5">
        <f>IF(Form_Responses[[#This Row],[9. In the last month, how often have you been angered or frustrated by situations outside your control, such as finances, academics, or relationships?]]="Never",0,IF(Form_Responses[[#This Row],[9. In the last month, how often have you been angered or frustrated by situations outside your control, such as finances, academics, or relationships?]]="Almost never",1,IF(Form_Responses[[#This Row],[9. In the last month, how often have you been angered or frustrated by situations outside your control, such as finances, academics, or relationships?]]="Sometimes",2,IF(Form_Responses[[#This Row],[9. In the last month, how often have you been angered or frustrated by situations outside your control, such as finances, academics, or relationships?]]="Fairly often",3,4))))</f>
        <v>1</v>
      </c>
      <c r="BM49" s="3" t="s">
        <v>88</v>
      </c>
      <c r="BN49" s="4">
        <f>IF(Form_Responses[[#This Row],[10. In the last month, how often have you felt that difficulties were piling up so much that you could not overcome them?]]="Never",0,IF(Form_Responses[[#This Row],[10. In the last month, how often have you felt that difficulties were piling up so much that you could not overcome them?]]="Almost never",1,IF(Form_Responses[[#This Row],[10. In the last month, how often have you felt that difficulties were piling up so much that you could not overcome them?]]="Sometimes",2,IF(Form_Responses[[#This Row],[10. In the last month, how often have you felt that difficulties were piling up so much that you could not overcome them?]]="Fairly often",3,4))))</f>
        <v>3</v>
      </c>
      <c r="BO49" s="4">
        <f>SUM(Form_Responses[[#This Row],[Score17]],Form_Responses[[#This Row],[Score18]],Form_Responses[[#This Row],[Score19]],Form_Responses[[#This Row],[Score20]],Form_Responses[[#This Row],[Score21]],Form_Responses[[#This Row],[Score22]],Form_Responses[[#This Row],[Score23]],Form_Responses[[#This Row],[Score24]],Form_Responses[[#This Row],[Score25]],Form_Responses[[#This Row],[Score26]])</f>
        <v>13</v>
      </c>
      <c r="BP49" s="4" t="str">
        <f>IF(Form_Responses[[#This Row],[Anxiety Score2]]&lt;=13,"Low stress",IF(Form_Responses[[#This Row],[Anxiety Score2]]&lt;=26,"Moderate stress","High stress"))</f>
        <v xml:space="preserve">Low stress</v>
      </c>
      <c r="BQ49" s="3" t="s">
        <v>91</v>
      </c>
      <c r="BR49" s="3" t="s">
        <v>76</v>
      </c>
      <c r="BS49" s="3" t="s">
        <v>333</v>
      </c>
      <c r="BT49" s="3" t="s">
        <v>264</v>
      </c>
      <c r="BU49" s="3" t="s">
        <v>76</v>
      </c>
      <c r="BV49" s="3" t="s">
        <v>334</v>
      </c>
      <c r="BW49" s="3" t="s">
        <v>335</v>
      </c>
      <c r="BX49" s="3" t="s">
        <v>336</v>
      </c>
    </row>
    <row r="50" ht="22.5" customHeight="1">
      <c r="A50" s="2">
        <v>46199.490497511579</v>
      </c>
      <c r="B50" s="3" t="s">
        <v>76</v>
      </c>
      <c r="C50" s="3" t="s">
        <v>77</v>
      </c>
      <c r="D50" s="3" t="s">
        <v>78</v>
      </c>
      <c r="E50" s="3" t="s">
        <v>218</v>
      </c>
      <c r="F50" s="3" t="s">
        <v>235</v>
      </c>
      <c r="G50" s="3" t="s">
        <v>131</v>
      </c>
      <c r="H50" s="3" t="s">
        <v>122</v>
      </c>
      <c r="I50" s="3" t="s">
        <v>102</v>
      </c>
      <c r="J50" s="3" t="s">
        <v>84</v>
      </c>
      <c r="K50" s="3" t="s">
        <v>86</v>
      </c>
      <c r="L50" s="4">
        <f>IF(K50="Not at all",0,IF(K50="Several days",1,IF(K50="More than half the days",2,3)))</f>
        <v>1</v>
      </c>
      <c r="M50" s="3" t="s">
        <v>86</v>
      </c>
      <c r="N50" s="4">
        <f>IF(M50="Not at all",0,IF(M50="Several days",1,IF(M50="More than half the days",2,3)))</f>
        <v>1</v>
      </c>
      <c r="O50" s="3" t="s">
        <v>86</v>
      </c>
      <c r="P50" s="5">
        <f>IF(O50="Not at all",0,IF(O50="Several days",1,IF(O50="More than half the days",2,3)))</f>
        <v>1</v>
      </c>
      <c r="Q50" s="3" t="s">
        <v>86</v>
      </c>
      <c r="R50" s="4">
        <f>IF(Q50="Not at all",0,IF(Q50="Several days",1,IF(Q50="More than half the days",2,3)))</f>
        <v>1</v>
      </c>
      <c r="S50" s="3" t="s">
        <v>86</v>
      </c>
      <c r="T50" s="4">
        <f>IF(S50="Not at all",0,IF(S50="Several days",1,IF(S50="More than half the days",2,3)))</f>
        <v>1</v>
      </c>
      <c r="U50" s="3" t="s">
        <v>86</v>
      </c>
      <c r="V50" s="4">
        <f>IF(U50="Not at all",0,IF(U50="Several days",1,IF(U50="More than half the days",2,3)))</f>
        <v>1</v>
      </c>
      <c r="W50" s="3" t="s">
        <v>86</v>
      </c>
      <c r="X50" s="4">
        <f>IF(W50="Not at all",0,IF(W50="Several days",1,IF(W50="More than half the days",2,3)))</f>
        <v>1</v>
      </c>
      <c r="Y50" s="3" t="s">
        <v>86</v>
      </c>
      <c r="Z50" s="4">
        <f>IF(Y50="Not at all",0,IF(Y50="Several days",1,IF(Y50="More than half the days",2,3)))</f>
        <v>1</v>
      </c>
      <c r="AA50" s="3" t="s">
        <v>85</v>
      </c>
      <c r="AB50" s="4">
        <f>IF(AA50="Not at all",0,IF(AA50="Several days",1,IF(AA50="More than half the days",2,3)))</f>
        <v>0</v>
      </c>
      <c r="AC50" s="4">
        <f>SUM(Form_Responses[[#This Row],[Score]],Form_Responses[[#This Row],[Score2]],Form_Responses[[#This Row],[Score3]],Form_Responses[[#This Row],[Score4]],Form_Responses[[#This Row],[Score5]],Form_Responses[[#This Row],[Score6]],Form_Responses[[#This Row],[Score7]],Form_Responses[[#This Row],[Score8]],Form_Responses[[#This Row],[Score9]])</f>
        <v>8</v>
      </c>
      <c r="AD50" s="4" t="str">
        <f>IF(Form_Responses[[#This Row],[Depression Score ]]&lt;=4,"Minimal symptoms",IF(Form_Responses[[#This Row],[Depression Score ]]&lt;=9,"Mild Depression",IF(Form_Responses[[#This Row],[Depression Score ]]&lt;=14,"Moderate depression",IF(Form_Responses[[#This Row],[Depression Score ]]&lt;=19,"Moderately severe depression","Severe depression"))))</f>
        <v xml:space="preserve">Mild Depression</v>
      </c>
      <c r="AE50" s="3" t="s">
        <v>86</v>
      </c>
      <c r="AF50" s="4">
        <f>IF(AE50="Not at all",0,IF(AE50="Several days",1,IF(AE50="More than half the days",2,3)))</f>
        <v>1</v>
      </c>
      <c r="AG50" s="3" t="s">
        <v>86</v>
      </c>
      <c r="AH50" s="4">
        <f>IF(AG50="Not at all",0,IF(AG50="Several days",1,IF(AG50="More than half the days",2,3)))</f>
        <v>1</v>
      </c>
      <c r="AI50" s="3" t="s">
        <v>86</v>
      </c>
      <c r="AJ50" s="4">
        <f>IF(AI50="Not at all",0,IF(AI50="Several days",1,IF(AI50="More than half the days",2,3)))</f>
        <v>1</v>
      </c>
      <c r="AK50" s="3" t="s">
        <v>86</v>
      </c>
      <c r="AL50" s="4">
        <f>IF(AK50="Not at all",0,IF(AK50="Several days",1,IF(AK50="More than half the days",2,3)))</f>
        <v>1</v>
      </c>
      <c r="AM50" s="3" t="s">
        <v>86</v>
      </c>
      <c r="AN50" s="4">
        <f>IF(AM50="Not at all",0,IF(AM50="Several days",1,IF(AM50="More than half the days",2,3)))</f>
        <v>1</v>
      </c>
      <c r="AO50" s="3" t="s">
        <v>86</v>
      </c>
      <c r="AP50" s="4">
        <f>IF(AO50="Not at all",0,IF(AO50="Several days",1,IF(AO50="More than half the days",2,3)))</f>
        <v>1</v>
      </c>
      <c r="AQ50" s="3" t="s">
        <v>85</v>
      </c>
      <c r="AR50" s="4">
        <f>IF(AQ50="Not at all",0,IF(AQ50="Several days",1,IF(AQ50="More than half the days",2,3)))</f>
        <v>0</v>
      </c>
      <c r="AS50" s="4">
        <f>SUM(Form_Responses[[#This Row],[Score16]],Form_Responses[[#This Row],[Score10]],Form_Responses[[#This Row],[Score11]],Form_Responses[[#This Row],[Score12]],Form_Responses[[#This Row],[Score13]],Form_Responses[[#This Row],[Score14]],Form_Responses[[#This Row],[Score15]])</f>
        <v>6</v>
      </c>
      <c r="AT50" s="4" t="str">
        <f>IF(Form_Responses[[#This Row],[Anxiety Score]]&lt;=4,"Minimal anxiety",IF(Form_Responses[[#This Row],[Anxiety Score]]&lt;=9,"Mild anxiety",IF(Form_Responses[[#This Row],[Anxiety Score]]&lt;=14,"Moderate anxiety","Severe anxiety")))</f>
        <v xml:space="preserve">Mild anxiety</v>
      </c>
      <c r="AU50" s="3" t="s">
        <v>89</v>
      </c>
      <c r="AV50" s="4">
        <f>IF(Form_Responses[[#This Row],[1. In the last month, how often have you been upset because of unexpected situations related to academics, finances, or personal life?]]="Never",0,IF(Form_Responses[[#This Row],[1. In the last month, how often have you been upset because of unexpected situations related to academics, finances, or personal life?]]="Almost never",1,IF(Form_Responses[[#This Row],[1. In the last month, how often have you been upset because of unexpected situations related to academics, finances, or personal life?]]="Sometimes",2,IF(Form_Responses[[#This Row],[1. In the last month, how often have you been upset because of unexpected situations related to academics, finances, or personal life?]]="Fairly often",3,4))))</f>
        <v>2</v>
      </c>
      <c r="AW50" s="3" t="s">
        <v>90</v>
      </c>
      <c r="AX50" s="5">
        <f>IF(Form_Responses[[#This Row],[2. In the last month, how often have you felt unable to control important things in your academic or personal life?]]="Never",0,IF(Form_Responses[[#This Row],[2. In the last month, how often have you felt unable to control important things in your academic or personal life?]]="Almost never",1,IF(Form_Responses[[#This Row],[2. In the last month, how often have you felt unable to control important things in your academic or personal life?]]="Sometimes",2,IF(Form_Responses[[#This Row],[2. In the last month, how often have you felt unable to control important things in your academic or personal life?]]="Fairly often",3,4))))</f>
        <v>1</v>
      </c>
      <c r="AY50" s="3" t="s">
        <v>89</v>
      </c>
      <c r="AZ50" s="4">
        <f>IF(Form_Responses[[#This Row],[3. In the last month, how often have you felt nervous or stressed because of university responsibilities or personal challenges?]]="Never",0,IF(Form_Responses[[#This Row],[3. In the last month, how often have you felt nervous or stressed because of university responsibilities or personal challenges?]]="Almost never",1,IF(Form_Responses[[#This Row],[3. In the last month, how often have you felt nervous or stressed because of university responsibilities or personal challenges?]]="Sometimes",2,IF(Form_Responses[[#This Row],[3. In the last month, how often have you felt nervous or stressed because of university responsibilities or personal challenges?]]="Fairly often",3,4))))</f>
        <v>2</v>
      </c>
      <c r="BA50" s="3" t="s">
        <v>88</v>
      </c>
      <c r="BB50" s="4">
        <f>IF(Form_Responses[[#This Row],[4. In the last month, how often have you felt confident about your ability to handle academic or personal problems?]]="Never",4,IF(Form_Responses[[#This Row],[4. In the last month, how often have you felt confident about your ability to handle academic or personal problems?]]="Almost never",3,IF(Form_Responses[[#This Row],[4. In the last month, how often have you felt confident about your ability to handle academic or personal problems?]]="Sometimes",2,IF(Form_Responses[[#This Row],[4. In the last month, how often have you felt confident about your ability to handle academic or personal problems?]]="Fairly often",1,0))))</f>
        <v>1</v>
      </c>
      <c r="BC50" s="3" t="s">
        <v>88</v>
      </c>
      <c r="BD50" s="4">
        <f>IF(Form_Responses[[#This Row],[5. In the last month, how often have you felt that things were going well in your studies or personal life?]]="Never",4,IF(Form_Responses[[#This Row],[5. In the last month, how often have you felt that things were going well in your studies or personal life?]]="Almost never",3,IF(Form_Responses[[#This Row],[5. In the last month, how often have you felt that things were going well in your studies or personal life?]]="Sometimes",2,IF(Form_Responses[[#This Row],[5. In the last month, how often have you felt that things were going well in your studies or personal life?]]="Fairly often",1,0))))</f>
        <v>1</v>
      </c>
      <c r="BE50" s="3" t="s">
        <v>90</v>
      </c>
      <c r="BF50" s="4">
        <f>IF(Form_Responses[[#This Row],[6. In the last month, how often have you felt unable to cope with coursework, deadlines, or daily responsibilities?]]="Never",0,IF(Form_Responses[[#This Row],[6. In the last month, how often have you felt unable to cope with coursework, deadlines, or daily responsibilities?]]="Almost never",1,IF(Form_Responses[[#This Row],[6. In the last month, how often have you felt unable to cope with coursework, deadlines, or daily responsibilities?]]="Sometimes",2,IF(Form_Responses[[#This Row],[6. In the last month, how often have you felt unable to cope with coursework, deadlines, or daily responsibilities?]]="Fairly often",3,4))))</f>
        <v>1</v>
      </c>
      <c r="BG50" s="3" t="s">
        <v>88</v>
      </c>
      <c r="BH50" s="4">
        <f>IF(Form_Responses[[#This Row],[7. In the last month, how often have you been able to control irritations or frustrations in your life?]]="Never",4,IF(Form_Responses[[#This Row],[7. In the last month, how often have you been able to control irritations or frustrations in your life?]]="Almost never",3,IF(Form_Responses[[#This Row],[7. In the last month, how often have you been able to control irritations or frustrations in your life?]]="Sometimes",2,IF(Form_Responses[[#This Row],[7. In the last month, how often have you been able to control irritations or frustrations in your life?]]="Fairly often",1,0))))</f>
        <v>1</v>
      </c>
      <c r="BI50" s="3" t="s">
        <v>88</v>
      </c>
      <c r="BJ50" s="4">
        <f>IF(Form_Responses[[#This Row],[8. In the last month, how often have you felt that you were managing your academic and personal responsibilities well?]]="Never",4,IF(Form_Responses[[#This Row],[8. In the last month, how often have you felt that you were managing your academic and personal responsibilities well?]]="Almost never",3,IF(Form_Responses[[#This Row],[8. In the last month, how often have you felt that you were managing your academic and personal responsibilities well?]]="Sometimes",2,IF(Form_Responses[[#This Row],[8. In the last month, how often have you felt that you were managing your academic and personal responsibilities well?]]="Fairly often",1,0))))</f>
        <v>1</v>
      </c>
      <c r="BK50" s="3" t="s">
        <v>89</v>
      </c>
      <c r="BL50" s="5">
        <f>IF(Form_Responses[[#This Row],[9. In the last month, how often have you been angered or frustrated by situations outside your control, such as finances, academics, or relationships?]]="Never",0,IF(Form_Responses[[#This Row],[9. In the last month, how often have you been angered or frustrated by situations outside your control, such as finances, academics, or relationships?]]="Almost never",1,IF(Form_Responses[[#This Row],[9. In the last month, how often have you been angered or frustrated by situations outside your control, such as finances, academics, or relationships?]]="Sometimes",2,IF(Form_Responses[[#This Row],[9. In the last month, how often have you been angered or frustrated by situations outside your control, such as finances, academics, or relationships?]]="Fairly often",3,4))))</f>
        <v>2</v>
      </c>
      <c r="BM50" s="3" t="s">
        <v>89</v>
      </c>
      <c r="BN50" s="4">
        <f>IF(Form_Responses[[#This Row],[10. In the last month, how often have you felt that difficulties were piling up so much that you could not overcome them?]]="Never",0,IF(Form_Responses[[#This Row],[10. In the last month, how often have you felt that difficulties were piling up so much that you could not overcome them?]]="Almost never",1,IF(Form_Responses[[#This Row],[10. In the last month, how often have you felt that difficulties were piling up so much that you could not overcome them?]]="Sometimes",2,IF(Form_Responses[[#This Row],[10. In the last month, how often have you felt that difficulties were piling up so much that you could not overcome them?]]="Fairly often",3,4))))</f>
        <v>2</v>
      </c>
      <c r="BO50" s="4">
        <f>SUM(Form_Responses[[#This Row],[Score17]],Form_Responses[[#This Row],[Score18]],Form_Responses[[#This Row],[Score19]],Form_Responses[[#This Row],[Score20]],Form_Responses[[#This Row],[Score21]],Form_Responses[[#This Row],[Score22]],Form_Responses[[#This Row],[Score23]],Form_Responses[[#This Row],[Score24]],Form_Responses[[#This Row],[Score25]],Form_Responses[[#This Row],[Score26]])</f>
        <v>14</v>
      </c>
      <c r="BP50" s="4" t="str">
        <f>IF(Form_Responses[[#This Row],[Anxiety Score2]]&lt;=13,"Low stress",IF(Form_Responses[[#This Row],[Anxiety Score2]]&lt;=26,"Moderate stress","High stress"))</f>
        <v xml:space="preserve">Moderate stress</v>
      </c>
      <c r="BQ50" s="3" t="s">
        <v>91</v>
      </c>
      <c r="BR50" s="3" t="s">
        <v>106</v>
      </c>
      <c r="BS50" s="3" t="s">
        <v>247</v>
      </c>
      <c r="BT50" s="3" t="s">
        <v>108</v>
      </c>
      <c r="BU50" s="3" t="s">
        <v>106</v>
      </c>
      <c r="BV50" s="3" t="s">
        <v>337</v>
      </c>
      <c r="BW50" s="3" t="s">
        <v>338</v>
      </c>
      <c r="BX50" s="3" t="s">
        <v>339</v>
      </c>
    </row>
    <row r="51" ht="22.5" customHeight="1">
      <c r="A51" s="2">
        <v>46199.49342820602</v>
      </c>
      <c r="B51" s="3" t="s">
        <v>76</v>
      </c>
      <c r="C51" s="3" t="s">
        <v>77</v>
      </c>
      <c r="D51" s="3" t="s">
        <v>112</v>
      </c>
      <c r="E51" s="3" t="s">
        <v>213</v>
      </c>
      <c r="F51" s="3" t="s">
        <v>340</v>
      </c>
      <c r="G51" s="3" t="s">
        <v>100</v>
      </c>
      <c r="H51" s="3" t="s">
        <v>82</v>
      </c>
      <c r="I51" s="3" t="s">
        <v>83</v>
      </c>
      <c r="J51" s="3" t="s">
        <v>84</v>
      </c>
      <c r="K51" s="3" t="s">
        <v>86</v>
      </c>
      <c r="L51" s="4">
        <f>IF(K51="Not at all",0,IF(K51="Several days",1,IF(K51="More than half the days",2,3)))</f>
        <v>1</v>
      </c>
      <c r="M51" s="3" t="s">
        <v>86</v>
      </c>
      <c r="N51" s="4">
        <f>IF(M51="Not at all",0,IF(M51="Several days",1,IF(M51="More than half the days",2,3)))</f>
        <v>1</v>
      </c>
      <c r="O51" s="3" t="s">
        <v>85</v>
      </c>
      <c r="P51" s="5">
        <f>IF(O51="Not at all",0,IF(O51="Several days",1,IF(O51="More than half the days",2,3)))</f>
        <v>0</v>
      </c>
      <c r="Q51" s="3" t="s">
        <v>86</v>
      </c>
      <c r="R51" s="4">
        <f>IF(Q51="Not at all",0,IF(Q51="Several days",1,IF(Q51="More than half the days",2,3)))</f>
        <v>1</v>
      </c>
      <c r="S51" s="3" t="s">
        <v>85</v>
      </c>
      <c r="T51" s="4">
        <f>IF(S51="Not at all",0,IF(S51="Several days",1,IF(S51="More than half the days",2,3)))</f>
        <v>0</v>
      </c>
      <c r="U51" s="3" t="s">
        <v>85</v>
      </c>
      <c r="V51" s="4">
        <f>IF(U51="Not at all",0,IF(U51="Several days",1,IF(U51="More than half the days",2,3)))</f>
        <v>0</v>
      </c>
      <c r="W51" s="3" t="s">
        <v>85</v>
      </c>
      <c r="X51" s="4">
        <f>IF(W51="Not at all",0,IF(W51="Several days",1,IF(W51="More than half the days",2,3)))</f>
        <v>0</v>
      </c>
      <c r="Y51" s="3" t="s">
        <v>85</v>
      </c>
      <c r="Z51" s="4">
        <f>IF(Y51="Not at all",0,IF(Y51="Several days",1,IF(Y51="More than half the days",2,3)))</f>
        <v>0</v>
      </c>
      <c r="AA51" s="3" t="s">
        <v>85</v>
      </c>
      <c r="AB51" s="4">
        <f>IF(AA51="Not at all",0,IF(AA51="Several days",1,IF(AA51="More than half the days",2,3)))</f>
        <v>0</v>
      </c>
      <c r="AC51" s="4">
        <f>SUM(Form_Responses[[#This Row],[Score]],Form_Responses[[#This Row],[Score2]],Form_Responses[[#This Row],[Score3]],Form_Responses[[#This Row],[Score4]],Form_Responses[[#This Row],[Score5]],Form_Responses[[#This Row],[Score6]],Form_Responses[[#This Row],[Score7]],Form_Responses[[#This Row],[Score8]],Form_Responses[[#This Row],[Score9]])</f>
        <v>3</v>
      </c>
      <c r="AD51" s="4" t="str">
        <f>IF(Form_Responses[[#This Row],[Depression Score ]]&lt;=4,"Minimal symptoms",IF(Form_Responses[[#This Row],[Depression Score ]]&lt;=9,"Mild Depression",IF(Form_Responses[[#This Row],[Depression Score ]]&lt;=14,"Moderate depression",IF(Form_Responses[[#This Row],[Depression Score ]]&lt;=19,"Moderately severe depression","Severe depression"))))</f>
        <v xml:space="preserve">Minimal symptoms</v>
      </c>
      <c r="AE51" s="3" t="s">
        <v>86</v>
      </c>
      <c r="AF51" s="4">
        <f>IF(AE51="Not at all",0,IF(AE51="Several days",1,IF(AE51="More than half the days",2,3)))</f>
        <v>1</v>
      </c>
      <c r="AG51" s="3" t="s">
        <v>85</v>
      </c>
      <c r="AH51" s="4">
        <f>IF(AG51="Not at all",0,IF(AG51="Several days",1,IF(AG51="More than half the days",2,3)))</f>
        <v>0</v>
      </c>
      <c r="AI51" s="3" t="s">
        <v>85</v>
      </c>
      <c r="AJ51" s="4">
        <f>IF(AI51="Not at all",0,IF(AI51="Several days",1,IF(AI51="More than half the days",2,3)))</f>
        <v>0</v>
      </c>
      <c r="AK51" s="3" t="s">
        <v>85</v>
      </c>
      <c r="AL51" s="4">
        <f>IF(AK51="Not at all",0,IF(AK51="Several days",1,IF(AK51="More than half the days",2,3)))</f>
        <v>0</v>
      </c>
      <c r="AM51" s="3" t="s">
        <v>86</v>
      </c>
      <c r="AN51" s="4">
        <f>IF(AM51="Not at all",0,IF(AM51="Several days",1,IF(AM51="More than half the days",2,3)))</f>
        <v>1</v>
      </c>
      <c r="AO51" s="3" t="s">
        <v>86</v>
      </c>
      <c r="AP51" s="4">
        <f>IF(AO51="Not at all",0,IF(AO51="Several days",1,IF(AO51="More than half the days",2,3)))</f>
        <v>1</v>
      </c>
      <c r="AQ51" s="3" t="s">
        <v>85</v>
      </c>
      <c r="AR51" s="4">
        <f>IF(AQ51="Not at all",0,IF(AQ51="Several days",1,IF(AQ51="More than half the days",2,3)))</f>
        <v>0</v>
      </c>
      <c r="AS51" s="4">
        <f>SUM(Form_Responses[[#This Row],[Score16]],Form_Responses[[#This Row],[Score10]],Form_Responses[[#This Row],[Score11]],Form_Responses[[#This Row],[Score12]],Form_Responses[[#This Row],[Score13]],Form_Responses[[#This Row],[Score14]],Form_Responses[[#This Row],[Score15]])</f>
        <v>3</v>
      </c>
      <c r="AT51" s="4" t="str">
        <f>IF(Form_Responses[[#This Row],[Anxiety Score]]&lt;=4,"Minimal anxiety",IF(Form_Responses[[#This Row],[Anxiety Score]]&lt;=9,"Mild anxiety",IF(Form_Responses[[#This Row],[Anxiety Score]]&lt;=14,"Moderate anxiety","Severe anxiety")))</f>
        <v xml:space="preserve">Minimal anxiety</v>
      </c>
      <c r="AU51" s="3" t="s">
        <v>89</v>
      </c>
      <c r="AV51" s="4">
        <f>IF(Form_Responses[[#This Row],[1. In the last month, how often have you been upset because of unexpected situations related to academics, finances, or personal life?]]="Never",0,IF(Form_Responses[[#This Row],[1. In the last month, how often have you been upset because of unexpected situations related to academics, finances, or personal life?]]="Almost never",1,IF(Form_Responses[[#This Row],[1. In the last month, how often have you been upset because of unexpected situations related to academics, finances, or personal life?]]="Sometimes",2,IF(Form_Responses[[#This Row],[1. In the last month, how often have you been upset because of unexpected situations related to academics, finances, or personal life?]]="Fairly often",3,4))))</f>
        <v>2</v>
      </c>
      <c r="AW51" s="3" t="s">
        <v>124</v>
      </c>
      <c r="AX51" s="5">
        <f>IF(Form_Responses[[#This Row],[2. In the last month, how often have you felt unable to control important things in your academic or personal life?]]="Never",0,IF(Form_Responses[[#This Row],[2. In the last month, how often have you felt unable to control important things in your academic or personal life?]]="Almost never",1,IF(Form_Responses[[#This Row],[2. In the last month, how often have you felt unable to control important things in your academic or personal life?]]="Sometimes",2,IF(Form_Responses[[#This Row],[2. In the last month, how often have you felt unable to control important things in your academic or personal life?]]="Fairly often",3,4))))</f>
        <v>0</v>
      </c>
      <c r="AY51" s="3" t="s">
        <v>89</v>
      </c>
      <c r="AZ51" s="4">
        <f>IF(Form_Responses[[#This Row],[3. In the last month, how often have you felt nervous or stressed because of university responsibilities or personal challenges?]]="Never",0,IF(Form_Responses[[#This Row],[3. In the last month, how often have you felt nervous or stressed because of university responsibilities or personal challenges?]]="Almost never",1,IF(Form_Responses[[#This Row],[3. In the last month, how often have you felt nervous or stressed because of university responsibilities or personal challenges?]]="Sometimes",2,IF(Form_Responses[[#This Row],[3. In the last month, how often have you felt nervous or stressed because of university responsibilities or personal challenges?]]="Fairly often",3,4))))</f>
        <v>2</v>
      </c>
      <c r="BA51" s="3" t="s">
        <v>105</v>
      </c>
      <c r="BB51" s="4">
        <f>IF(Form_Responses[[#This Row],[4. In the last month, how often have you felt confident about your ability to handle academic or personal problems?]]="Never",4,IF(Form_Responses[[#This Row],[4. In the last month, how often have you felt confident about your ability to handle academic or personal problems?]]="Almost never",3,IF(Form_Responses[[#This Row],[4. In the last month, how often have you felt confident about your ability to handle academic or personal problems?]]="Sometimes",2,IF(Form_Responses[[#This Row],[4. In the last month, how often have you felt confident about your ability to handle academic or personal problems?]]="Fairly often",1,0))))</f>
        <v>0</v>
      </c>
      <c r="BC51" s="3" t="s">
        <v>89</v>
      </c>
      <c r="BD51" s="4">
        <f>IF(Form_Responses[[#This Row],[5. In the last month, how often have you felt that things were going well in your studies or personal life?]]="Never",4,IF(Form_Responses[[#This Row],[5. In the last month, how often have you felt that things were going well in your studies or personal life?]]="Almost never",3,IF(Form_Responses[[#This Row],[5. In the last month, how often have you felt that things were going well in your studies or personal life?]]="Sometimes",2,IF(Form_Responses[[#This Row],[5. In the last month, how often have you felt that things were going well in your studies or personal life?]]="Fairly often",1,0))))</f>
        <v>2</v>
      </c>
      <c r="BE51" s="3" t="s">
        <v>88</v>
      </c>
      <c r="BF51" s="4">
        <f>IF(Form_Responses[[#This Row],[6. In the last month, how often have you felt unable to cope with coursework, deadlines, or daily responsibilities?]]="Never",0,IF(Form_Responses[[#This Row],[6. In the last month, how often have you felt unable to cope with coursework, deadlines, or daily responsibilities?]]="Almost never",1,IF(Form_Responses[[#This Row],[6. In the last month, how often have you felt unable to cope with coursework, deadlines, or daily responsibilities?]]="Sometimes",2,IF(Form_Responses[[#This Row],[6. In the last month, how often have you felt unable to cope with coursework, deadlines, or daily responsibilities?]]="Fairly often",3,4))))</f>
        <v>3</v>
      </c>
      <c r="BG51" s="3" t="s">
        <v>89</v>
      </c>
      <c r="BH51" s="4">
        <f>IF(Form_Responses[[#This Row],[7. In the last month, how often have you been able to control irritations or frustrations in your life?]]="Never",4,IF(Form_Responses[[#This Row],[7. In the last month, how often have you been able to control irritations or frustrations in your life?]]="Almost never",3,IF(Form_Responses[[#This Row],[7. In the last month, how often have you been able to control irritations or frustrations in your life?]]="Sometimes",2,IF(Form_Responses[[#This Row],[7. In the last month, how often have you been able to control irritations or frustrations in your life?]]="Fairly often",1,0))))</f>
        <v>2</v>
      </c>
      <c r="BI51" s="3" t="s">
        <v>90</v>
      </c>
      <c r="BJ51" s="4">
        <f>IF(Form_Responses[[#This Row],[8. In the last month, how often have you felt that you were managing your academic and personal responsibilities well?]]="Never",4,IF(Form_Responses[[#This Row],[8. In the last month, how often have you felt that you were managing your academic and personal responsibilities well?]]="Almost never",3,IF(Form_Responses[[#This Row],[8. In the last month, how often have you felt that you were managing your academic and personal responsibilities well?]]="Sometimes",2,IF(Form_Responses[[#This Row],[8. In the last month, how often have you felt that you were managing your academic and personal responsibilities well?]]="Fairly often",1,0))))</f>
        <v>3</v>
      </c>
      <c r="BK51" s="3" t="s">
        <v>88</v>
      </c>
      <c r="BL51" s="5">
        <f>IF(Form_Responses[[#This Row],[9. In the last month, how often have you been angered or frustrated by situations outside your control, such as finances, academics, or relationships?]]="Never",0,IF(Form_Responses[[#This Row],[9. In the last month, how often have you been angered or frustrated by situations outside your control, such as finances, academics, or relationships?]]="Almost never",1,IF(Form_Responses[[#This Row],[9. In the last month, how often have you been angered or frustrated by situations outside your control, such as finances, academics, or relationships?]]="Sometimes",2,IF(Form_Responses[[#This Row],[9. In the last month, how often have you been angered or frustrated by situations outside your control, such as finances, academics, or relationships?]]="Fairly often",3,4))))</f>
        <v>3</v>
      </c>
      <c r="BM51" s="3" t="s">
        <v>89</v>
      </c>
      <c r="BN51" s="4">
        <f>IF(Form_Responses[[#This Row],[10. In the last month, how often have you felt that difficulties were piling up so much that you could not overcome them?]]="Never",0,IF(Form_Responses[[#This Row],[10. In the last month, how often have you felt that difficulties were piling up so much that you could not overcome them?]]="Almost never",1,IF(Form_Responses[[#This Row],[10. In the last month, how often have you felt that difficulties were piling up so much that you could not overcome them?]]="Sometimes",2,IF(Form_Responses[[#This Row],[10. In the last month, how often have you felt that difficulties were piling up so much that you could not overcome them?]]="Fairly often",3,4))))</f>
        <v>2</v>
      </c>
      <c r="BO51" s="4">
        <f>SUM(Form_Responses[[#This Row],[Score17]],Form_Responses[[#This Row],[Score18]],Form_Responses[[#This Row],[Score19]],Form_Responses[[#This Row],[Score20]],Form_Responses[[#This Row],[Score21]],Form_Responses[[#This Row],[Score22]],Form_Responses[[#This Row],[Score23]],Form_Responses[[#This Row],[Score24]],Form_Responses[[#This Row],[Score25]],Form_Responses[[#This Row],[Score26]])</f>
        <v>19</v>
      </c>
      <c r="BP51" s="4" t="str">
        <f>IF(Form_Responses[[#This Row],[Anxiety Score2]]&lt;=13,"Low stress",IF(Form_Responses[[#This Row],[Anxiety Score2]]&lt;=26,"Moderate stress","High stress"))</f>
        <v xml:space="preserve">Moderate stress</v>
      </c>
      <c r="BQ51" s="3" t="s">
        <v>76</v>
      </c>
      <c r="BR51" s="3" t="s">
        <v>91</v>
      </c>
      <c r="BS51" s="3" t="s">
        <v>236</v>
      </c>
      <c r="BT51" s="3" t="s">
        <v>341</v>
      </c>
      <c r="BU51" s="3" t="s">
        <v>91</v>
      </c>
      <c r="BV51" s="3" t="s">
        <v>342</v>
      </c>
      <c r="BW51" s="3" t="s">
        <v>343</v>
      </c>
      <c r="BX51" s="3" t="s">
        <v>344</v>
      </c>
    </row>
    <row r="52" ht="22.5" customHeight="1">
      <c r="A52" s="2">
        <v>46199.739628981479</v>
      </c>
      <c r="B52" s="3" t="s">
        <v>76</v>
      </c>
      <c r="C52" s="3" t="s">
        <v>77</v>
      </c>
      <c r="D52" s="3" t="s">
        <v>78</v>
      </c>
      <c r="E52" s="3" t="s">
        <v>98</v>
      </c>
      <c r="F52" s="3" t="s">
        <v>345</v>
      </c>
      <c r="G52" s="3" t="s">
        <v>81</v>
      </c>
      <c r="H52" s="3" t="s">
        <v>82</v>
      </c>
      <c r="I52" s="3" t="s">
        <v>83</v>
      </c>
      <c r="J52" s="3" t="s">
        <v>84</v>
      </c>
      <c r="K52" s="3" t="s">
        <v>86</v>
      </c>
      <c r="L52" s="4">
        <f>IF(K52="Not at all",0,IF(K52="Several days",1,IF(K52="More than half the days",2,3)))</f>
        <v>1</v>
      </c>
      <c r="M52" s="3" t="s">
        <v>85</v>
      </c>
      <c r="N52" s="4">
        <f>IF(M52="Not at all",0,IF(M52="Several days",1,IF(M52="More than half the days",2,3)))</f>
        <v>0</v>
      </c>
      <c r="O52" s="3" t="s">
        <v>85</v>
      </c>
      <c r="P52" s="5">
        <f>IF(O52="Not at all",0,IF(O52="Several days",1,IF(O52="More than half the days",2,3)))</f>
        <v>0</v>
      </c>
      <c r="Q52" s="3" t="s">
        <v>86</v>
      </c>
      <c r="R52" s="4">
        <f>IF(Q52="Not at all",0,IF(Q52="Several days",1,IF(Q52="More than half the days",2,3)))</f>
        <v>1</v>
      </c>
      <c r="S52" s="3" t="s">
        <v>86</v>
      </c>
      <c r="T52" s="4">
        <f>IF(S52="Not at all",0,IF(S52="Several days",1,IF(S52="More than half the days",2,3)))</f>
        <v>1</v>
      </c>
      <c r="U52" s="3" t="s">
        <v>85</v>
      </c>
      <c r="V52" s="4">
        <f>IF(U52="Not at all",0,IF(U52="Several days",1,IF(U52="More than half the days",2,3)))</f>
        <v>0</v>
      </c>
      <c r="W52" s="3" t="s">
        <v>85</v>
      </c>
      <c r="X52" s="4">
        <f>IF(W52="Not at all",0,IF(W52="Several days",1,IF(W52="More than half the days",2,3)))</f>
        <v>0</v>
      </c>
      <c r="Y52" s="3" t="s">
        <v>86</v>
      </c>
      <c r="Z52" s="4">
        <f>IF(Y52="Not at all",0,IF(Y52="Several days",1,IF(Y52="More than half the days",2,3)))</f>
        <v>1</v>
      </c>
      <c r="AA52" s="3" t="s">
        <v>85</v>
      </c>
      <c r="AB52" s="4">
        <f>IF(AA52="Not at all",0,IF(AA52="Several days",1,IF(AA52="More than half the days",2,3)))</f>
        <v>0</v>
      </c>
      <c r="AC52" s="4">
        <f>SUM(Form_Responses[[#This Row],[Score]],Form_Responses[[#This Row],[Score2]],Form_Responses[[#This Row],[Score3]],Form_Responses[[#This Row],[Score4]],Form_Responses[[#This Row],[Score5]],Form_Responses[[#This Row],[Score6]],Form_Responses[[#This Row],[Score7]],Form_Responses[[#This Row],[Score8]],Form_Responses[[#This Row],[Score9]])</f>
        <v>4</v>
      </c>
      <c r="AD52" s="4" t="str">
        <f>IF(Form_Responses[[#This Row],[Depression Score ]]&lt;=4,"Minimal symptoms",IF(Form_Responses[[#This Row],[Depression Score ]]&lt;=9,"Mild Depression",IF(Form_Responses[[#This Row],[Depression Score ]]&lt;=14,"Moderate depression",IF(Form_Responses[[#This Row],[Depression Score ]]&lt;=19,"Moderately severe depression","Severe depression"))))</f>
        <v xml:space="preserve">Minimal symptoms</v>
      </c>
      <c r="AE52" s="3" t="s">
        <v>86</v>
      </c>
      <c r="AF52" s="4">
        <f>IF(AE52="Not at all",0,IF(AE52="Several days",1,IF(AE52="More than half the days",2,3)))</f>
        <v>1</v>
      </c>
      <c r="AG52" s="3" t="s">
        <v>86</v>
      </c>
      <c r="AH52" s="4">
        <f>IF(AG52="Not at all",0,IF(AG52="Several days",1,IF(AG52="More than half the days",2,3)))</f>
        <v>1</v>
      </c>
      <c r="AI52" s="3" t="s">
        <v>86</v>
      </c>
      <c r="AJ52" s="4">
        <f>IF(AI52="Not at all",0,IF(AI52="Several days",1,IF(AI52="More than half the days",2,3)))</f>
        <v>1</v>
      </c>
      <c r="AK52" s="3" t="s">
        <v>86</v>
      </c>
      <c r="AL52" s="4">
        <f>IF(AK52="Not at all",0,IF(AK52="Several days",1,IF(AK52="More than half the days",2,3)))</f>
        <v>1</v>
      </c>
      <c r="AM52" s="3" t="s">
        <v>85</v>
      </c>
      <c r="AN52" s="4">
        <f>IF(AM52="Not at all",0,IF(AM52="Several days",1,IF(AM52="More than half the days",2,3)))</f>
        <v>0</v>
      </c>
      <c r="AO52" s="3" t="s">
        <v>86</v>
      </c>
      <c r="AP52" s="4">
        <f>IF(AO52="Not at all",0,IF(AO52="Several days",1,IF(AO52="More than half the days",2,3)))</f>
        <v>1</v>
      </c>
      <c r="AQ52" s="3" t="s">
        <v>86</v>
      </c>
      <c r="AR52" s="4">
        <f>IF(AQ52="Not at all",0,IF(AQ52="Several days",1,IF(AQ52="More than half the days",2,3)))</f>
        <v>1</v>
      </c>
      <c r="AS52" s="4">
        <f>SUM(Form_Responses[[#This Row],[Score16]],Form_Responses[[#This Row],[Score10]],Form_Responses[[#This Row],[Score11]],Form_Responses[[#This Row],[Score12]],Form_Responses[[#This Row],[Score13]],Form_Responses[[#This Row],[Score14]],Form_Responses[[#This Row],[Score15]])</f>
        <v>6</v>
      </c>
      <c r="AT52" s="4" t="str">
        <f>IF(Form_Responses[[#This Row],[Anxiety Score]]&lt;=4,"Minimal anxiety",IF(Form_Responses[[#This Row],[Anxiety Score]]&lt;=9,"Mild anxiety",IF(Form_Responses[[#This Row],[Anxiety Score]]&lt;=14,"Moderate anxiety","Severe anxiety")))</f>
        <v xml:space="preserve">Mild anxiety</v>
      </c>
      <c r="AU52" s="3" t="s">
        <v>89</v>
      </c>
      <c r="AV52" s="4">
        <f>IF(Form_Responses[[#This Row],[1. In the last month, how often have you been upset because of unexpected situations related to academics, finances, or personal life?]]="Never",0,IF(Form_Responses[[#This Row],[1. In the last month, how often have you been upset because of unexpected situations related to academics, finances, or personal life?]]="Almost never",1,IF(Form_Responses[[#This Row],[1. In the last month, how often have you been upset because of unexpected situations related to academics, finances, or personal life?]]="Sometimes",2,IF(Form_Responses[[#This Row],[1. In the last month, how often have you been upset because of unexpected situations related to academics, finances, or personal life?]]="Fairly often",3,4))))</f>
        <v>2</v>
      </c>
      <c r="AW52" s="3" t="s">
        <v>124</v>
      </c>
      <c r="AX52" s="5">
        <f>IF(Form_Responses[[#This Row],[2. In the last month, how often have you felt unable to control important things in your academic or personal life?]]="Never",0,IF(Form_Responses[[#This Row],[2. In the last month, how often have you felt unable to control important things in your academic or personal life?]]="Almost never",1,IF(Form_Responses[[#This Row],[2. In the last month, how often have you felt unable to control important things in your academic or personal life?]]="Sometimes",2,IF(Form_Responses[[#This Row],[2. In the last month, how often have you felt unable to control important things in your academic or personal life?]]="Fairly often",3,4))))</f>
        <v>0</v>
      </c>
      <c r="AY52" s="3" t="s">
        <v>89</v>
      </c>
      <c r="AZ52" s="4">
        <f>IF(Form_Responses[[#This Row],[3. In the last month, how often have you felt nervous or stressed because of university responsibilities or personal challenges?]]="Never",0,IF(Form_Responses[[#This Row],[3. In the last month, how often have you felt nervous or stressed because of university responsibilities or personal challenges?]]="Almost never",1,IF(Form_Responses[[#This Row],[3. In the last month, how often have you felt nervous or stressed because of university responsibilities or personal challenges?]]="Sometimes",2,IF(Form_Responses[[#This Row],[3. In the last month, how often have you felt nervous or stressed because of university responsibilities or personal challenges?]]="Fairly often",3,4))))</f>
        <v>2</v>
      </c>
      <c r="BA52" s="3" t="s">
        <v>89</v>
      </c>
      <c r="BB52" s="4">
        <f>IF(Form_Responses[[#This Row],[4. In the last month, how often have you felt confident about your ability to handle academic or personal problems?]]="Never",4,IF(Form_Responses[[#This Row],[4. In the last month, how often have you felt confident about your ability to handle academic or personal problems?]]="Almost never",3,IF(Form_Responses[[#This Row],[4. In the last month, how often have you felt confident about your ability to handle academic or personal problems?]]="Sometimes",2,IF(Form_Responses[[#This Row],[4. In the last month, how often have you felt confident about your ability to handle academic or personal problems?]]="Fairly often",1,0))))</f>
        <v>2</v>
      </c>
      <c r="BC52" s="3" t="s">
        <v>89</v>
      </c>
      <c r="BD52" s="4">
        <f>IF(Form_Responses[[#This Row],[5. In the last month, how often have you felt that things were going well in your studies or personal life?]]="Never",4,IF(Form_Responses[[#This Row],[5. In the last month, how often have you felt that things were going well in your studies or personal life?]]="Almost never",3,IF(Form_Responses[[#This Row],[5. In the last month, how often have you felt that things were going well in your studies or personal life?]]="Sometimes",2,IF(Form_Responses[[#This Row],[5. In the last month, how often have you felt that things were going well in your studies or personal life?]]="Fairly often",1,0))))</f>
        <v>2</v>
      </c>
      <c r="BE52" s="3" t="s">
        <v>89</v>
      </c>
      <c r="BF52" s="4">
        <f>IF(Form_Responses[[#This Row],[6. In the last month, how often have you felt unable to cope with coursework, deadlines, or daily responsibilities?]]="Never",0,IF(Form_Responses[[#This Row],[6. In the last month, how often have you felt unable to cope with coursework, deadlines, or daily responsibilities?]]="Almost never",1,IF(Form_Responses[[#This Row],[6. In the last month, how often have you felt unable to cope with coursework, deadlines, or daily responsibilities?]]="Sometimes",2,IF(Form_Responses[[#This Row],[6. In the last month, how often have you felt unable to cope with coursework, deadlines, or daily responsibilities?]]="Fairly often",3,4))))</f>
        <v>2</v>
      </c>
      <c r="BG52" s="3" t="s">
        <v>89</v>
      </c>
      <c r="BH52" s="4">
        <f>IF(Form_Responses[[#This Row],[7. In the last month, how often have you been able to control irritations or frustrations in your life?]]="Never",4,IF(Form_Responses[[#This Row],[7. In the last month, how often have you been able to control irritations or frustrations in your life?]]="Almost never",3,IF(Form_Responses[[#This Row],[7. In the last month, how often have you been able to control irritations or frustrations in your life?]]="Sometimes",2,IF(Form_Responses[[#This Row],[7. In the last month, how often have you been able to control irritations or frustrations in your life?]]="Fairly often",1,0))))</f>
        <v>2</v>
      </c>
      <c r="BI52" s="3" t="s">
        <v>89</v>
      </c>
      <c r="BJ52" s="4">
        <f>IF(Form_Responses[[#This Row],[8. In the last month, how often have you felt that you were managing your academic and personal responsibilities well?]]="Never",4,IF(Form_Responses[[#This Row],[8. In the last month, how often have you felt that you were managing your academic and personal responsibilities well?]]="Almost never",3,IF(Form_Responses[[#This Row],[8. In the last month, how often have you felt that you were managing your academic and personal responsibilities well?]]="Sometimes",2,IF(Form_Responses[[#This Row],[8. In the last month, how often have you felt that you were managing your academic and personal responsibilities well?]]="Fairly often",1,0))))</f>
        <v>2</v>
      </c>
      <c r="BK52" s="3" t="s">
        <v>89</v>
      </c>
      <c r="BL52" s="5">
        <f>IF(Form_Responses[[#This Row],[9. In the last month, how often have you been angered or frustrated by situations outside your control, such as finances, academics, or relationships?]]="Never",0,IF(Form_Responses[[#This Row],[9. In the last month, how often have you been angered or frustrated by situations outside your control, such as finances, academics, or relationships?]]="Almost never",1,IF(Form_Responses[[#This Row],[9. In the last month, how often have you been angered or frustrated by situations outside your control, such as finances, academics, or relationships?]]="Sometimes",2,IF(Form_Responses[[#This Row],[9. In the last month, how often have you been angered or frustrated by situations outside your control, such as finances, academics, or relationships?]]="Fairly often",3,4))))</f>
        <v>2</v>
      </c>
      <c r="BM52" s="3" t="s">
        <v>89</v>
      </c>
      <c r="BN52" s="4">
        <f>IF(Form_Responses[[#This Row],[10. In the last month, how often have you felt that difficulties were piling up so much that you could not overcome them?]]="Never",0,IF(Form_Responses[[#This Row],[10. In the last month, how often have you felt that difficulties were piling up so much that you could not overcome them?]]="Almost never",1,IF(Form_Responses[[#This Row],[10. In the last month, how often have you felt that difficulties were piling up so much that you could not overcome them?]]="Sometimes",2,IF(Form_Responses[[#This Row],[10. In the last month, how often have you felt that difficulties were piling up so much that you could not overcome them?]]="Fairly often",3,4))))</f>
        <v>2</v>
      </c>
      <c r="BO52" s="4">
        <f>SUM(Form_Responses[[#This Row],[Score17]],Form_Responses[[#This Row],[Score18]],Form_Responses[[#This Row],[Score19]],Form_Responses[[#This Row],[Score20]],Form_Responses[[#This Row],[Score21]],Form_Responses[[#This Row],[Score22]],Form_Responses[[#This Row],[Score23]],Form_Responses[[#This Row],[Score24]],Form_Responses[[#This Row],[Score25]],Form_Responses[[#This Row],[Score26]])</f>
        <v>18</v>
      </c>
      <c r="BP52" s="4" t="str">
        <f>IF(Form_Responses[[#This Row],[Anxiety Score2]]&lt;=13,"Low stress",IF(Form_Responses[[#This Row],[Anxiety Score2]]&lt;=26,"Moderate stress","High stress"))</f>
        <v xml:space="preserve">Moderate stress</v>
      </c>
      <c r="BQ52" s="3" t="s">
        <v>91</v>
      </c>
      <c r="BR52" s="3" t="s">
        <v>76</v>
      </c>
      <c r="BS52" s="3" t="s">
        <v>289</v>
      </c>
      <c r="BT52" s="3" t="s">
        <v>108</v>
      </c>
      <c r="BU52" s="3" t="s">
        <v>76</v>
      </c>
      <c r="BV52" s="3" t="s">
        <v>346</v>
      </c>
      <c r="BW52" s="3" t="s">
        <v>347</v>
      </c>
      <c r="BX52" s="3" t="s">
        <v>348</v>
      </c>
    </row>
    <row r="53" ht="22.5" customHeight="1">
      <c r="A53" s="2">
        <v>46202.525340925931</v>
      </c>
      <c r="B53" s="3" t="s">
        <v>76</v>
      </c>
      <c r="C53" s="3" t="s">
        <v>97</v>
      </c>
      <c r="D53" s="3" t="s">
        <v>112</v>
      </c>
      <c r="E53" s="3" t="s">
        <v>349</v>
      </c>
      <c r="F53" s="3" t="s">
        <v>350</v>
      </c>
      <c r="G53" s="3" t="s">
        <v>100</v>
      </c>
      <c r="H53" s="3" t="s">
        <v>101</v>
      </c>
      <c r="I53" s="3" t="s">
        <v>102</v>
      </c>
      <c r="J53" s="3" t="s">
        <v>103</v>
      </c>
      <c r="K53" s="3" t="s">
        <v>86</v>
      </c>
      <c r="L53" s="4">
        <f>IF(K53="Not at all",0,IF(K53="Several days",1,IF(K53="More than half the days",2,3)))</f>
        <v>1</v>
      </c>
      <c r="M53" s="3" t="s">
        <v>86</v>
      </c>
      <c r="N53" s="4">
        <f>IF(M53="Not at all",0,IF(M53="Several days",1,IF(M53="More than half the days",2,3)))</f>
        <v>1</v>
      </c>
      <c r="O53" s="3" t="s">
        <v>85</v>
      </c>
      <c r="P53" s="5">
        <f>IF(O53="Not at all",0,IF(O53="Several days",1,IF(O53="More than half the days",2,3)))</f>
        <v>0</v>
      </c>
      <c r="Q53" s="3" t="s">
        <v>86</v>
      </c>
      <c r="R53" s="4">
        <f>IF(Q53="Not at all",0,IF(Q53="Several days",1,IF(Q53="More than half the days",2,3)))</f>
        <v>1</v>
      </c>
      <c r="S53" s="3" t="s">
        <v>86</v>
      </c>
      <c r="T53" s="4">
        <f>IF(S53="Not at all",0,IF(S53="Several days",1,IF(S53="More than half the days",2,3)))</f>
        <v>1</v>
      </c>
      <c r="U53" s="3" t="s">
        <v>86</v>
      </c>
      <c r="V53" s="4">
        <f>IF(U53="Not at all",0,IF(U53="Several days",1,IF(U53="More than half the days",2,3)))</f>
        <v>1</v>
      </c>
      <c r="W53" s="3" t="s">
        <v>86</v>
      </c>
      <c r="X53" s="4">
        <f>IF(W53="Not at all",0,IF(W53="Several days",1,IF(W53="More than half the days",2,3)))</f>
        <v>1</v>
      </c>
      <c r="Y53" s="3" t="s">
        <v>87</v>
      </c>
      <c r="Z53" s="4">
        <f>IF(Y53="Not at all",0,IF(Y53="Several days",1,IF(Y53="More than half the days",2,3)))</f>
        <v>2</v>
      </c>
      <c r="AA53" s="3" t="s">
        <v>85</v>
      </c>
      <c r="AB53" s="4">
        <f>IF(AA53="Not at all",0,IF(AA53="Several days",1,IF(AA53="More than half the days",2,3)))</f>
        <v>0</v>
      </c>
      <c r="AC53" s="4">
        <f>SUM(Form_Responses[[#This Row],[Score]],Form_Responses[[#This Row],[Score2]],Form_Responses[[#This Row],[Score3]],Form_Responses[[#This Row],[Score4]],Form_Responses[[#This Row],[Score5]],Form_Responses[[#This Row],[Score6]],Form_Responses[[#This Row],[Score7]],Form_Responses[[#This Row],[Score8]],Form_Responses[[#This Row],[Score9]])</f>
        <v>8</v>
      </c>
      <c r="AD53" s="4" t="str">
        <f>IF(Form_Responses[[#This Row],[Depression Score ]]&lt;=4,"Minimal symptoms",IF(Form_Responses[[#This Row],[Depression Score ]]&lt;=9,"Mild Depression",IF(Form_Responses[[#This Row],[Depression Score ]]&lt;=14,"Moderate depression",IF(Form_Responses[[#This Row],[Depression Score ]]&lt;=19,"Moderately severe depression","Severe depression"))))</f>
        <v xml:space="preserve">Mild Depression</v>
      </c>
      <c r="AE53" s="3" t="s">
        <v>87</v>
      </c>
      <c r="AF53" s="4">
        <f>IF(AE53="Not at all",0,IF(AE53="Several days",1,IF(AE53="More than half the days",2,3)))</f>
        <v>2</v>
      </c>
      <c r="AG53" s="3" t="s">
        <v>87</v>
      </c>
      <c r="AH53" s="4">
        <f>IF(AG53="Not at all",0,IF(AG53="Several days",1,IF(AG53="More than half the days",2,3)))</f>
        <v>2</v>
      </c>
      <c r="AI53" s="3" t="s">
        <v>87</v>
      </c>
      <c r="AJ53" s="4">
        <f>IF(AI53="Not at all",0,IF(AI53="Several days",1,IF(AI53="More than half the days",2,3)))</f>
        <v>2</v>
      </c>
      <c r="AK53" s="3" t="s">
        <v>87</v>
      </c>
      <c r="AL53" s="4">
        <f>IF(AK53="Not at all",0,IF(AK53="Several days",1,IF(AK53="More than half the days",2,3)))</f>
        <v>2</v>
      </c>
      <c r="AM53" s="3" t="s">
        <v>85</v>
      </c>
      <c r="AN53" s="4">
        <f>IF(AM53="Not at all",0,IF(AM53="Several days",1,IF(AM53="More than half the days",2,3)))</f>
        <v>0</v>
      </c>
      <c r="AO53" s="3" t="s">
        <v>86</v>
      </c>
      <c r="AP53" s="4">
        <f>IF(AO53="Not at all",0,IF(AO53="Several days",1,IF(AO53="More than half the days",2,3)))</f>
        <v>1</v>
      </c>
      <c r="AQ53" s="3" t="s">
        <v>87</v>
      </c>
      <c r="AR53" s="4">
        <f>IF(AQ53="Not at all",0,IF(AQ53="Several days",1,IF(AQ53="More than half the days",2,3)))</f>
        <v>2</v>
      </c>
      <c r="AS53" s="4">
        <f>SUM(Form_Responses[[#This Row],[Score16]],Form_Responses[[#This Row],[Score10]],Form_Responses[[#This Row],[Score11]],Form_Responses[[#This Row],[Score12]],Form_Responses[[#This Row],[Score13]],Form_Responses[[#This Row],[Score14]],Form_Responses[[#This Row],[Score15]])</f>
        <v>11</v>
      </c>
      <c r="AT53" s="4" t="str">
        <f>IF(Form_Responses[[#This Row],[Anxiety Score]]&lt;=4,"Minimal anxiety",IF(Form_Responses[[#This Row],[Anxiety Score]]&lt;=9,"Mild anxiety",IF(Form_Responses[[#This Row],[Anxiety Score]]&lt;=14,"Moderate anxiety","Severe anxiety")))</f>
        <v xml:space="preserve">Moderate anxiety</v>
      </c>
      <c r="AU53" s="3" t="s">
        <v>88</v>
      </c>
      <c r="AV53" s="4">
        <f>IF(Form_Responses[[#This Row],[1. In the last month, how often have you been upset because of unexpected situations related to academics, finances, or personal life?]]="Never",0,IF(Form_Responses[[#This Row],[1. In the last month, how often have you been upset because of unexpected situations related to academics, finances, or personal life?]]="Almost never",1,IF(Form_Responses[[#This Row],[1. In the last month, how often have you been upset because of unexpected situations related to academics, finances, or personal life?]]="Sometimes",2,IF(Form_Responses[[#This Row],[1. In the last month, how often have you been upset because of unexpected situations related to academics, finances, or personal life?]]="Fairly often",3,4))))</f>
        <v>3</v>
      </c>
      <c r="AW53" s="3" t="s">
        <v>89</v>
      </c>
      <c r="AX53" s="5">
        <f>IF(Form_Responses[[#This Row],[2. In the last month, how often have you felt unable to control important things in your academic or personal life?]]="Never",0,IF(Form_Responses[[#This Row],[2. In the last month, how often have you felt unable to control important things in your academic or personal life?]]="Almost never",1,IF(Form_Responses[[#This Row],[2. In the last month, how often have you felt unable to control important things in your academic or personal life?]]="Sometimes",2,IF(Form_Responses[[#This Row],[2. In the last month, how often have you felt unable to control important things in your academic or personal life?]]="Fairly often",3,4))))</f>
        <v>2</v>
      </c>
      <c r="AY53" s="3" t="s">
        <v>88</v>
      </c>
      <c r="AZ53" s="4">
        <f>IF(Form_Responses[[#This Row],[3. In the last month, how often have you felt nervous or stressed because of university responsibilities or personal challenges?]]="Never",0,IF(Form_Responses[[#This Row],[3. In the last month, how often have you felt nervous or stressed because of university responsibilities or personal challenges?]]="Almost never",1,IF(Form_Responses[[#This Row],[3. In the last month, how often have you felt nervous or stressed because of university responsibilities or personal challenges?]]="Sometimes",2,IF(Form_Responses[[#This Row],[3. In the last month, how often have you felt nervous or stressed because of university responsibilities or personal challenges?]]="Fairly often",3,4))))</f>
        <v>3</v>
      </c>
      <c r="BA53" s="3" t="s">
        <v>89</v>
      </c>
      <c r="BB53" s="4">
        <f>IF(Form_Responses[[#This Row],[4. In the last month, how often have you felt confident about your ability to handle academic or personal problems?]]="Never",4,IF(Form_Responses[[#This Row],[4. In the last month, how often have you felt confident about your ability to handle academic or personal problems?]]="Almost never",3,IF(Form_Responses[[#This Row],[4. In the last month, how often have you felt confident about your ability to handle academic or personal problems?]]="Sometimes",2,IF(Form_Responses[[#This Row],[4. In the last month, how often have you felt confident about your ability to handle academic or personal problems?]]="Fairly often",1,0))))</f>
        <v>2</v>
      </c>
      <c r="BC53" s="3" t="s">
        <v>88</v>
      </c>
      <c r="BD53" s="4">
        <f>IF(Form_Responses[[#This Row],[5. In the last month, how often have you felt that things were going well in your studies or personal life?]]="Never",4,IF(Form_Responses[[#This Row],[5. In the last month, how often have you felt that things were going well in your studies or personal life?]]="Almost never",3,IF(Form_Responses[[#This Row],[5. In the last month, how often have you felt that things were going well in your studies or personal life?]]="Sometimes",2,IF(Form_Responses[[#This Row],[5. In the last month, how often have you felt that things were going well in your studies or personal life?]]="Fairly often",1,0))))</f>
        <v>1</v>
      </c>
      <c r="BE53" s="3" t="s">
        <v>88</v>
      </c>
      <c r="BF53" s="4">
        <f>IF(Form_Responses[[#This Row],[6. In the last month, how often have you felt unable to cope with coursework, deadlines, or daily responsibilities?]]="Never",0,IF(Form_Responses[[#This Row],[6. In the last month, how often have you felt unable to cope with coursework, deadlines, or daily responsibilities?]]="Almost never",1,IF(Form_Responses[[#This Row],[6. In the last month, how often have you felt unable to cope with coursework, deadlines, or daily responsibilities?]]="Sometimes",2,IF(Form_Responses[[#This Row],[6. In the last month, how often have you felt unable to cope with coursework, deadlines, or daily responsibilities?]]="Fairly often",3,4))))</f>
        <v>3</v>
      </c>
      <c r="BG53" s="3" t="s">
        <v>105</v>
      </c>
      <c r="BH53" s="4">
        <f>IF(Form_Responses[[#This Row],[7. In the last month, how often have you been able to control irritations or frustrations in your life?]]="Never",4,IF(Form_Responses[[#This Row],[7. In the last month, how often have you been able to control irritations or frustrations in your life?]]="Almost never",3,IF(Form_Responses[[#This Row],[7. In the last month, how often have you been able to control irritations or frustrations in your life?]]="Sometimes",2,IF(Form_Responses[[#This Row],[7. In the last month, how often have you been able to control irritations or frustrations in your life?]]="Fairly often",1,0))))</f>
        <v>0</v>
      </c>
      <c r="BI53" s="3" t="s">
        <v>88</v>
      </c>
      <c r="BJ53" s="4">
        <f>IF(Form_Responses[[#This Row],[8. In the last month, how often have you felt that you were managing your academic and personal responsibilities well?]]="Never",4,IF(Form_Responses[[#This Row],[8. In the last month, how often have you felt that you were managing your academic and personal responsibilities well?]]="Almost never",3,IF(Form_Responses[[#This Row],[8. In the last month, how often have you felt that you were managing your academic and personal responsibilities well?]]="Sometimes",2,IF(Form_Responses[[#This Row],[8. In the last month, how often have you felt that you were managing your academic and personal responsibilities well?]]="Fairly often",1,0))))</f>
        <v>1</v>
      </c>
      <c r="BK53" s="3" t="s">
        <v>88</v>
      </c>
      <c r="BL53" s="5">
        <f>IF(Form_Responses[[#This Row],[9. In the last month, how often have you been angered or frustrated by situations outside your control, such as finances, academics, or relationships?]]="Never",0,IF(Form_Responses[[#This Row],[9. In the last month, how often have you been angered or frustrated by situations outside your control, such as finances, academics, or relationships?]]="Almost never",1,IF(Form_Responses[[#This Row],[9. In the last month, how often have you been angered or frustrated by situations outside your control, such as finances, academics, or relationships?]]="Sometimes",2,IF(Form_Responses[[#This Row],[9. In the last month, how often have you been angered or frustrated by situations outside your control, such as finances, academics, or relationships?]]="Fairly often",3,4))))</f>
        <v>3</v>
      </c>
      <c r="BM53" s="3" t="s">
        <v>88</v>
      </c>
      <c r="BN53" s="4">
        <f>IF(Form_Responses[[#This Row],[10. In the last month, how often have you felt that difficulties were piling up so much that you could not overcome them?]]="Never",0,IF(Form_Responses[[#This Row],[10. In the last month, how often have you felt that difficulties were piling up so much that you could not overcome them?]]="Almost never",1,IF(Form_Responses[[#This Row],[10. In the last month, how often have you felt that difficulties were piling up so much that you could not overcome them?]]="Sometimes",2,IF(Form_Responses[[#This Row],[10. In the last month, how often have you felt that difficulties were piling up so much that you could not overcome them?]]="Fairly often",3,4))))</f>
        <v>3</v>
      </c>
      <c r="BO53" s="4">
        <f>SUM(Form_Responses[[#This Row],[Score17]],Form_Responses[[#This Row],[Score18]],Form_Responses[[#This Row],[Score19]],Form_Responses[[#This Row],[Score20]],Form_Responses[[#This Row],[Score21]],Form_Responses[[#This Row],[Score22]],Form_Responses[[#This Row],[Score23]],Form_Responses[[#This Row],[Score24]],Form_Responses[[#This Row],[Score25]],Form_Responses[[#This Row],[Score26]])</f>
        <v>21</v>
      </c>
      <c r="BP53" s="4" t="str">
        <f>IF(Form_Responses[[#This Row],[Anxiety Score2]]&lt;=13,"Low stress",IF(Form_Responses[[#This Row],[Anxiety Score2]]&lt;=26,"Moderate stress","High stress"))</f>
        <v xml:space="preserve">Moderate stress</v>
      </c>
      <c r="BQ53" s="3" t="s">
        <v>91</v>
      </c>
      <c r="BR53" s="3" t="s">
        <v>76</v>
      </c>
      <c r="BS53" s="3" t="s">
        <v>247</v>
      </c>
      <c r="BT53" s="3" t="s">
        <v>264</v>
      </c>
      <c r="BU53" s="3" t="s">
        <v>76</v>
      </c>
      <c r="BV53" s="3" t="s">
        <v>351</v>
      </c>
      <c r="BW53" s="3" t="s">
        <v>352</v>
      </c>
      <c r="BX53" s="3" t="s">
        <v>353</v>
      </c>
    </row>
    <row r="54" ht="22.5" customHeight="1">
      <c r="A54" s="2">
        <v>46202.823971863429</v>
      </c>
      <c r="B54" s="3" t="s">
        <v>76</v>
      </c>
      <c r="C54" s="3" t="s">
        <v>154</v>
      </c>
      <c r="D54" s="3" t="s">
        <v>78</v>
      </c>
      <c r="E54" s="3" t="s">
        <v>79</v>
      </c>
      <c r="F54" s="3" t="s">
        <v>241</v>
      </c>
      <c r="G54" s="3" t="s">
        <v>81</v>
      </c>
      <c r="H54" s="3" t="s">
        <v>82</v>
      </c>
      <c r="I54" s="3" t="s">
        <v>83</v>
      </c>
      <c r="J54" s="3" t="s">
        <v>103</v>
      </c>
      <c r="K54" s="3" t="s">
        <v>86</v>
      </c>
      <c r="L54" s="4">
        <f>IF(K54="Not at all",0,IF(K54="Several days",1,IF(K54="More than half the days",2,3)))</f>
        <v>1</v>
      </c>
      <c r="M54" s="3" t="s">
        <v>86</v>
      </c>
      <c r="N54" s="4">
        <f>IF(M54="Not at all",0,IF(M54="Several days",1,IF(M54="More than half the days",2,3)))</f>
        <v>1</v>
      </c>
      <c r="O54" s="3" t="s">
        <v>85</v>
      </c>
      <c r="P54" s="5">
        <f>IF(O54="Not at all",0,IF(O54="Several days",1,IF(O54="More than half the days",2,3)))</f>
        <v>0</v>
      </c>
      <c r="Q54" s="3" t="s">
        <v>85</v>
      </c>
      <c r="R54" s="4">
        <f>IF(Q54="Not at all",0,IF(Q54="Several days",1,IF(Q54="More than half the days",2,3)))</f>
        <v>0</v>
      </c>
      <c r="S54" s="3" t="s">
        <v>85</v>
      </c>
      <c r="T54" s="4">
        <f>IF(S54="Not at all",0,IF(S54="Several days",1,IF(S54="More than half the days",2,3)))</f>
        <v>0</v>
      </c>
      <c r="U54" s="3" t="s">
        <v>85</v>
      </c>
      <c r="V54" s="4">
        <f>IF(U54="Not at all",0,IF(U54="Several days",1,IF(U54="More than half the days",2,3)))</f>
        <v>0</v>
      </c>
      <c r="W54" s="3" t="s">
        <v>86</v>
      </c>
      <c r="X54" s="4">
        <f>IF(W54="Not at all",0,IF(W54="Several days",1,IF(W54="More than half the days",2,3)))</f>
        <v>1</v>
      </c>
      <c r="Y54" s="3" t="s">
        <v>86</v>
      </c>
      <c r="Z54" s="4">
        <f>IF(Y54="Not at all",0,IF(Y54="Several days",1,IF(Y54="More than half the days",2,3)))</f>
        <v>1</v>
      </c>
      <c r="AA54" s="3" t="s">
        <v>86</v>
      </c>
      <c r="AB54" s="4">
        <f>IF(AA54="Not at all",0,IF(AA54="Several days",1,IF(AA54="More than half the days",2,3)))</f>
        <v>1</v>
      </c>
      <c r="AC54" s="4">
        <f>SUM(Form_Responses[[#This Row],[Score]],Form_Responses[[#This Row],[Score2]],Form_Responses[[#This Row],[Score3]],Form_Responses[[#This Row],[Score4]],Form_Responses[[#This Row],[Score5]],Form_Responses[[#This Row],[Score6]],Form_Responses[[#This Row],[Score7]],Form_Responses[[#This Row],[Score8]],Form_Responses[[#This Row],[Score9]])</f>
        <v>5</v>
      </c>
      <c r="AD54" s="4" t="str">
        <f>IF(Form_Responses[[#This Row],[Depression Score ]]&lt;=4,"Minimal symptoms",IF(Form_Responses[[#This Row],[Depression Score ]]&lt;=9,"Mild Depression",IF(Form_Responses[[#This Row],[Depression Score ]]&lt;=14,"Moderate depression",IF(Form_Responses[[#This Row],[Depression Score ]]&lt;=19,"Moderately severe depression","Severe depression"))))</f>
        <v xml:space="preserve">Mild Depression</v>
      </c>
      <c r="AE54" s="3" t="s">
        <v>86</v>
      </c>
      <c r="AF54" s="4">
        <f>IF(AE54="Not at all",0,IF(AE54="Several days",1,IF(AE54="More than half the days",2,3)))</f>
        <v>1</v>
      </c>
      <c r="AG54" s="3" t="s">
        <v>87</v>
      </c>
      <c r="AH54" s="4">
        <f>IF(AG54="Not at all",0,IF(AG54="Several days",1,IF(AG54="More than half the days",2,3)))</f>
        <v>2</v>
      </c>
      <c r="AI54" s="3" t="s">
        <v>87</v>
      </c>
      <c r="AJ54" s="4">
        <f>IF(AI54="Not at all",0,IF(AI54="Several days",1,IF(AI54="More than half the days",2,3)))</f>
        <v>2</v>
      </c>
      <c r="AK54" s="3" t="s">
        <v>87</v>
      </c>
      <c r="AL54" s="4">
        <f>IF(AK54="Not at all",0,IF(AK54="Several days",1,IF(AK54="More than half the days",2,3)))</f>
        <v>2</v>
      </c>
      <c r="AM54" s="3" t="s">
        <v>86</v>
      </c>
      <c r="AN54" s="4">
        <f>IF(AM54="Not at all",0,IF(AM54="Several days",1,IF(AM54="More than half the days",2,3)))</f>
        <v>1</v>
      </c>
      <c r="AO54" s="3" t="s">
        <v>85</v>
      </c>
      <c r="AP54" s="4">
        <f>IF(AO54="Not at all",0,IF(AO54="Several days",1,IF(AO54="More than half the days",2,3)))</f>
        <v>0</v>
      </c>
      <c r="AQ54" s="3" t="s">
        <v>87</v>
      </c>
      <c r="AR54" s="4">
        <f>IF(AQ54="Not at all",0,IF(AQ54="Several days",1,IF(AQ54="More than half the days",2,3)))</f>
        <v>2</v>
      </c>
      <c r="AS54" s="4">
        <f>SUM(Form_Responses[[#This Row],[Score16]],Form_Responses[[#This Row],[Score10]],Form_Responses[[#This Row],[Score11]],Form_Responses[[#This Row],[Score12]],Form_Responses[[#This Row],[Score13]],Form_Responses[[#This Row],[Score14]],Form_Responses[[#This Row],[Score15]])</f>
        <v>10</v>
      </c>
      <c r="AT54" s="4" t="str">
        <f>IF(Form_Responses[[#This Row],[Anxiety Score]]&lt;=4,"Minimal anxiety",IF(Form_Responses[[#This Row],[Anxiety Score]]&lt;=9,"Mild anxiety",IF(Form_Responses[[#This Row],[Anxiety Score]]&lt;=14,"Moderate anxiety","Severe anxiety")))</f>
        <v xml:space="preserve">Moderate anxiety</v>
      </c>
      <c r="AU54" s="3" t="s">
        <v>90</v>
      </c>
      <c r="AV54" s="4">
        <f>IF(Form_Responses[[#This Row],[1. In the last month, how often have you been upset because of unexpected situations related to academics, finances, or personal life?]]="Never",0,IF(Form_Responses[[#This Row],[1. In the last month, how often have you been upset because of unexpected situations related to academics, finances, or personal life?]]="Almost never",1,IF(Form_Responses[[#This Row],[1. In the last month, how often have you been upset because of unexpected situations related to academics, finances, or personal life?]]="Sometimes",2,IF(Form_Responses[[#This Row],[1. In the last month, how often have you been upset because of unexpected situations related to academics, finances, or personal life?]]="Fairly often",3,4))))</f>
        <v>1</v>
      </c>
      <c r="AW54" s="3" t="s">
        <v>124</v>
      </c>
      <c r="AX54" s="5">
        <f>IF(Form_Responses[[#This Row],[2. In the last month, how often have you felt unable to control important things in your academic or personal life?]]="Never",0,IF(Form_Responses[[#This Row],[2. In the last month, how often have you felt unable to control important things in your academic or personal life?]]="Almost never",1,IF(Form_Responses[[#This Row],[2. In the last month, how often have you felt unable to control important things in your academic or personal life?]]="Sometimes",2,IF(Form_Responses[[#This Row],[2. In the last month, how often have you felt unable to control important things in your academic or personal life?]]="Fairly often",3,4))))</f>
        <v>0</v>
      </c>
      <c r="AY54" s="3" t="s">
        <v>89</v>
      </c>
      <c r="AZ54" s="4">
        <f>IF(Form_Responses[[#This Row],[3. In the last month, how often have you felt nervous or stressed because of university responsibilities or personal challenges?]]="Never",0,IF(Form_Responses[[#This Row],[3. In the last month, how often have you felt nervous or stressed because of university responsibilities or personal challenges?]]="Almost never",1,IF(Form_Responses[[#This Row],[3. In the last month, how often have you felt nervous or stressed because of university responsibilities or personal challenges?]]="Sometimes",2,IF(Form_Responses[[#This Row],[3. In the last month, how often have you felt nervous or stressed because of university responsibilities or personal challenges?]]="Fairly often",3,4))))</f>
        <v>2</v>
      </c>
      <c r="BA54" s="3" t="s">
        <v>88</v>
      </c>
      <c r="BB54" s="4">
        <f>IF(Form_Responses[[#This Row],[4. In the last month, how often have you felt confident about your ability to handle academic or personal problems?]]="Never",4,IF(Form_Responses[[#This Row],[4. In the last month, how often have you felt confident about your ability to handle academic or personal problems?]]="Almost never",3,IF(Form_Responses[[#This Row],[4. In the last month, how often have you felt confident about your ability to handle academic or personal problems?]]="Sometimes",2,IF(Form_Responses[[#This Row],[4. In the last month, how often have you felt confident about your ability to handle academic or personal problems?]]="Fairly often",1,0))))</f>
        <v>1</v>
      </c>
      <c r="BC54" s="3" t="s">
        <v>88</v>
      </c>
      <c r="BD54" s="4">
        <f>IF(Form_Responses[[#This Row],[5. In the last month, how often have you felt that things were going well in your studies or personal life?]]="Never",4,IF(Form_Responses[[#This Row],[5. In the last month, how often have you felt that things were going well in your studies or personal life?]]="Almost never",3,IF(Form_Responses[[#This Row],[5. In the last month, how often have you felt that things were going well in your studies or personal life?]]="Sometimes",2,IF(Form_Responses[[#This Row],[5. In the last month, how often have you felt that things were going well in your studies or personal life?]]="Fairly often",1,0))))</f>
        <v>1</v>
      </c>
      <c r="BE54" s="3" t="s">
        <v>90</v>
      </c>
      <c r="BF54" s="4">
        <f>IF(Form_Responses[[#This Row],[6. In the last month, how often have you felt unable to cope with coursework, deadlines, or daily responsibilities?]]="Never",0,IF(Form_Responses[[#This Row],[6. In the last month, how often have you felt unable to cope with coursework, deadlines, or daily responsibilities?]]="Almost never",1,IF(Form_Responses[[#This Row],[6. In the last month, how often have you felt unable to cope with coursework, deadlines, or daily responsibilities?]]="Sometimes",2,IF(Form_Responses[[#This Row],[6. In the last month, how often have you felt unable to cope with coursework, deadlines, or daily responsibilities?]]="Fairly often",3,4))))</f>
        <v>1</v>
      </c>
      <c r="BG54" s="3" t="s">
        <v>90</v>
      </c>
      <c r="BH54" s="4">
        <f>IF(Form_Responses[[#This Row],[7. In the last month, how often have you been able to control irritations or frustrations in your life?]]="Never",4,IF(Form_Responses[[#This Row],[7. In the last month, how often have you been able to control irritations or frustrations in your life?]]="Almost never",3,IF(Form_Responses[[#This Row],[7. In the last month, how often have you been able to control irritations or frustrations in your life?]]="Sometimes",2,IF(Form_Responses[[#This Row],[7. In the last month, how often have you been able to control irritations or frustrations in your life?]]="Fairly often",1,0))))</f>
        <v>3</v>
      </c>
      <c r="BI54" s="3" t="s">
        <v>88</v>
      </c>
      <c r="BJ54" s="4">
        <f>IF(Form_Responses[[#This Row],[8. In the last month, how often have you felt that you were managing your academic and personal responsibilities well?]]="Never",4,IF(Form_Responses[[#This Row],[8. In the last month, how often have you felt that you were managing your academic and personal responsibilities well?]]="Almost never",3,IF(Form_Responses[[#This Row],[8. In the last month, how often have you felt that you were managing your academic and personal responsibilities well?]]="Sometimes",2,IF(Form_Responses[[#This Row],[8. In the last month, how often have you felt that you were managing your academic and personal responsibilities well?]]="Fairly often",1,0))))</f>
        <v>1</v>
      </c>
      <c r="BK54" s="3" t="s">
        <v>89</v>
      </c>
      <c r="BL54" s="5">
        <f>IF(Form_Responses[[#This Row],[9. In the last month, how often have you been angered or frustrated by situations outside your control, such as finances, academics, or relationships?]]="Never",0,IF(Form_Responses[[#This Row],[9. In the last month, how often have you been angered or frustrated by situations outside your control, such as finances, academics, or relationships?]]="Almost never",1,IF(Form_Responses[[#This Row],[9. In the last month, how often have you been angered or frustrated by situations outside your control, such as finances, academics, or relationships?]]="Sometimes",2,IF(Form_Responses[[#This Row],[9. In the last month, how often have you been angered or frustrated by situations outside your control, such as finances, academics, or relationships?]]="Fairly often",3,4))))</f>
        <v>2</v>
      </c>
      <c r="BM54" s="3" t="s">
        <v>88</v>
      </c>
      <c r="BN54" s="4">
        <f>IF(Form_Responses[[#This Row],[10. In the last month, how often have you felt that difficulties were piling up so much that you could not overcome them?]]="Never",0,IF(Form_Responses[[#This Row],[10. In the last month, how often have you felt that difficulties were piling up so much that you could not overcome them?]]="Almost never",1,IF(Form_Responses[[#This Row],[10. In the last month, how often have you felt that difficulties were piling up so much that you could not overcome them?]]="Sometimes",2,IF(Form_Responses[[#This Row],[10. In the last month, how often have you felt that difficulties were piling up so much that you could not overcome them?]]="Fairly often",3,4))))</f>
        <v>3</v>
      </c>
      <c r="BO54" s="4">
        <f>SUM(Form_Responses[[#This Row],[Score17]],Form_Responses[[#This Row],[Score18]],Form_Responses[[#This Row],[Score19]],Form_Responses[[#This Row],[Score20]],Form_Responses[[#This Row],[Score21]],Form_Responses[[#This Row],[Score22]],Form_Responses[[#This Row],[Score23]],Form_Responses[[#This Row],[Score24]],Form_Responses[[#This Row],[Score25]],Form_Responses[[#This Row],[Score26]])</f>
        <v>15</v>
      </c>
      <c r="BP54" s="4" t="str">
        <f>IF(Form_Responses[[#This Row],[Anxiety Score2]]&lt;=13,"Low stress",IF(Form_Responses[[#This Row],[Anxiety Score2]]&lt;=26,"Moderate stress","High stress"))</f>
        <v xml:space="preserve">Moderate stress</v>
      </c>
      <c r="BQ54" s="3" t="s">
        <v>76</v>
      </c>
      <c r="BR54" s="3" t="s">
        <v>76</v>
      </c>
      <c r="BS54" s="3" t="s">
        <v>107</v>
      </c>
      <c r="BT54" s="3" t="s">
        <v>126</v>
      </c>
      <c r="BU54" s="3" t="s">
        <v>76</v>
      </c>
      <c r="BV54" s="3" t="s">
        <v>354</v>
      </c>
      <c r="BW54" s="3" t="s">
        <v>355</v>
      </c>
      <c r="BX54" s="3" t="s">
        <v>356</v>
      </c>
    </row>
    <row r="55" ht="22.5" customHeight="1">
      <c r="A55" s="2">
        <v>46202.839619537037</v>
      </c>
      <c r="B55" s="3" t="s">
        <v>76</v>
      </c>
      <c r="C55" s="3" t="s">
        <v>77</v>
      </c>
      <c r="D55" s="3" t="s">
        <v>112</v>
      </c>
      <c r="E55" s="3" t="s">
        <v>357</v>
      </c>
      <c r="F55" s="3" t="s">
        <v>358</v>
      </c>
      <c r="G55" s="3" t="s">
        <v>100</v>
      </c>
      <c r="H55" s="3" t="s">
        <v>82</v>
      </c>
      <c r="I55" s="3" t="s">
        <v>83</v>
      </c>
      <c r="J55" s="3" t="s">
        <v>84</v>
      </c>
      <c r="K55" s="3" t="s">
        <v>142</v>
      </c>
      <c r="L55" s="4">
        <f>IF(K55="Not at all",0,IF(K55="Several days",1,IF(K55="More than half the days",2,3)))</f>
        <v>3</v>
      </c>
      <c r="M55" s="3" t="s">
        <v>85</v>
      </c>
      <c r="N55" s="4">
        <f>IF(M55="Not at all",0,IF(M55="Several days",1,IF(M55="More than half the days",2,3)))</f>
        <v>0</v>
      </c>
      <c r="O55" s="3" t="s">
        <v>85</v>
      </c>
      <c r="P55" s="5">
        <f>IF(O55="Not at all",0,IF(O55="Several days",1,IF(O55="More than half the days",2,3)))</f>
        <v>0</v>
      </c>
      <c r="Q55" s="3" t="s">
        <v>87</v>
      </c>
      <c r="R55" s="4">
        <f>IF(Q55="Not at all",0,IF(Q55="Several days",1,IF(Q55="More than half the days",2,3)))</f>
        <v>2</v>
      </c>
      <c r="S55" s="3" t="s">
        <v>85</v>
      </c>
      <c r="T55" s="4">
        <f>IF(S55="Not at all",0,IF(S55="Several days",1,IF(S55="More than half the days",2,3)))</f>
        <v>0</v>
      </c>
      <c r="U55" s="3" t="s">
        <v>85</v>
      </c>
      <c r="V55" s="4">
        <f>IF(U55="Not at all",0,IF(U55="Several days",1,IF(U55="More than half the days",2,3)))</f>
        <v>0</v>
      </c>
      <c r="W55" s="3" t="s">
        <v>85</v>
      </c>
      <c r="X55" s="4">
        <f>IF(W55="Not at all",0,IF(W55="Several days",1,IF(W55="More than half the days",2,3)))</f>
        <v>0</v>
      </c>
      <c r="Y55" s="3" t="s">
        <v>85</v>
      </c>
      <c r="Z55" s="4">
        <f>IF(Y55="Not at all",0,IF(Y55="Several days",1,IF(Y55="More than half the days",2,3)))</f>
        <v>0</v>
      </c>
      <c r="AA55" s="3" t="s">
        <v>85</v>
      </c>
      <c r="AB55" s="4">
        <f>IF(AA55="Not at all",0,IF(AA55="Several days",1,IF(AA55="More than half the days",2,3)))</f>
        <v>0</v>
      </c>
      <c r="AC55" s="4">
        <f>SUM(Form_Responses[[#This Row],[Score]],Form_Responses[[#This Row],[Score2]],Form_Responses[[#This Row],[Score3]],Form_Responses[[#This Row],[Score4]],Form_Responses[[#This Row],[Score5]],Form_Responses[[#This Row],[Score6]],Form_Responses[[#This Row],[Score7]],Form_Responses[[#This Row],[Score8]],Form_Responses[[#This Row],[Score9]])</f>
        <v>5</v>
      </c>
      <c r="AD55" s="4" t="str">
        <f>IF(Form_Responses[[#This Row],[Depression Score ]]&lt;=4,"Minimal symptoms",IF(Form_Responses[[#This Row],[Depression Score ]]&lt;=9,"Mild Depression",IF(Form_Responses[[#This Row],[Depression Score ]]&lt;=14,"Moderate depression",IF(Form_Responses[[#This Row],[Depression Score ]]&lt;=19,"Moderately severe depression","Severe depression"))))</f>
        <v xml:space="preserve">Mild Depression</v>
      </c>
      <c r="AE55" s="3" t="s">
        <v>85</v>
      </c>
      <c r="AF55" s="4">
        <f>IF(AE55="Not at all",0,IF(AE55="Several days",1,IF(AE55="More than half the days",2,3)))</f>
        <v>0</v>
      </c>
      <c r="AG55" s="3" t="s">
        <v>85</v>
      </c>
      <c r="AH55" s="4">
        <f>IF(AG55="Not at all",0,IF(AG55="Several days",1,IF(AG55="More than half the days",2,3)))</f>
        <v>0</v>
      </c>
      <c r="AI55" s="3" t="s">
        <v>85</v>
      </c>
      <c r="AJ55" s="4">
        <f>IF(AI55="Not at all",0,IF(AI55="Several days",1,IF(AI55="More than half the days",2,3)))</f>
        <v>0</v>
      </c>
      <c r="AK55" s="3" t="s">
        <v>85</v>
      </c>
      <c r="AL55" s="4">
        <f>IF(AK55="Not at all",0,IF(AK55="Several days",1,IF(AK55="More than half the days",2,3)))</f>
        <v>0</v>
      </c>
      <c r="AM55" s="3" t="s">
        <v>85</v>
      </c>
      <c r="AN55" s="4">
        <f>IF(AM55="Not at all",0,IF(AM55="Several days",1,IF(AM55="More than half the days",2,3)))</f>
        <v>0</v>
      </c>
      <c r="AO55" s="3" t="s">
        <v>85</v>
      </c>
      <c r="AP55" s="4">
        <f>IF(AO55="Not at all",0,IF(AO55="Several days",1,IF(AO55="More than half the days",2,3)))</f>
        <v>0</v>
      </c>
      <c r="AQ55" s="3" t="s">
        <v>85</v>
      </c>
      <c r="AR55" s="4">
        <f>IF(AQ55="Not at all",0,IF(AQ55="Several days",1,IF(AQ55="More than half the days",2,3)))</f>
        <v>0</v>
      </c>
      <c r="AS55" s="4">
        <f>SUM(Form_Responses[[#This Row],[Score16]],Form_Responses[[#This Row],[Score10]],Form_Responses[[#This Row],[Score11]],Form_Responses[[#This Row],[Score12]],Form_Responses[[#This Row],[Score13]],Form_Responses[[#This Row],[Score14]],Form_Responses[[#This Row],[Score15]])</f>
        <v>0</v>
      </c>
      <c r="AT55" s="4" t="str">
        <f>IF(Form_Responses[[#This Row],[Anxiety Score]]&lt;=4,"Minimal anxiety",IF(Form_Responses[[#This Row],[Anxiety Score]]&lt;=9,"Mild anxiety",IF(Form_Responses[[#This Row],[Anxiety Score]]&lt;=14,"Moderate anxiety","Severe anxiety")))</f>
        <v xml:space="preserve">Minimal anxiety</v>
      </c>
      <c r="AU55" s="3" t="s">
        <v>89</v>
      </c>
      <c r="AV55" s="4">
        <f>IF(Form_Responses[[#This Row],[1. In the last month, how often have you been upset because of unexpected situations related to academics, finances, or personal life?]]="Never",0,IF(Form_Responses[[#This Row],[1. In the last month, how often have you been upset because of unexpected situations related to academics, finances, or personal life?]]="Almost never",1,IF(Form_Responses[[#This Row],[1. In the last month, how often have you been upset because of unexpected situations related to academics, finances, or personal life?]]="Sometimes",2,IF(Form_Responses[[#This Row],[1. In the last month, how often have you been upset because of unexpected situations related to academics, finances, or personal life?]]="Fairly often",3,4))))</f>
        <v>2</v>
      </c>
      <c r="AW55" s="3" t="s">
        <v>89</v>
      </c>
      <c r="AX55" s="5">
        <f>IF(Form_Responses[[#This Row],[2. In the last month, how often have you felt unable to control important things in your academic or personal life?]]="Never",0,IF(Form_Responses[[#This Row],[2. In the last month, how often have you felt unable to control important things in your academic or personal life?]]="Almost never",1,IF(Form_Responses[[#This Row],[2. In the last month, how often have you felt unable to control important things in your academic or personal life?]]="Sometimes",2,IF(Form_Responses[[#This Row],[2. In the last month, how often have you felt unable to control important things in your academic or personal life?]]="Fairly often",3,4))))</f>
        <v>2</v>
      </c>
      <c r="AY55" s="3" t="s">
        <v>89</v>
      </c>
      <c r="AZ55" s="4">
        <f>IF(Form_Responses[[#This Row],[3. In the last month, how often have you felt nervous or stressed because of university responsibilities or personal challenges?]]="Never",0,IF(Form_Responses[[#This Row],[3. In the last month, how often have you felt nervous or stressed because of university responsibilities or personal challenges?]]="Almost never",1,IF(Form_Responses[[#This Row],[3. In the last month, how often have you felt nervous or stressed because of university responsibilities or personal challenges?]]="Sometimes",2,IF(Form_Responses[[#This Row],[3. In the last month, how often have you felt nervous or stressed because of university responsibilities or personal challenges?]]="Fairly often",3,4))))</f>
        <v>2</v>
      </c>
      <c r="BA55" s="3" t="s">
        <v>105</v>
      </c>
      <c r="BB55" s="4">
        <f>IF(Form_Responses[[#This Row],[4. In the last month, how often have you felt confident about your ability to handle academic or personal problems?]]="Never",4,IF(Form_Responses[[#This Row],[4. In the last month, how often have you felt confident about your ability to handle academic or personal problems?]]="Almost never",3,IF(Form_Responses[[#This Row],[4. In the last month, how often have you felt confident about your ability to handle academic or personal problems?]]="Sometimes",2,IF(Form_Responses[[#This Row],[4. In the last month, how often have you felt confident about your ability to handle academic or personal problems?]]="Fairly often",1,0))))</f>
        <v>0</v>
      </c>
      <c r="BC55" s="3" t="s">
        <v>88</v>
      </c>
      <c r="BD55" s="4">
        <f>IF(Form_Responses[[#This Row],[5. In the last month, how often have you felt that things were going well in your studies or personal life?]]="Never",4,IF(Form_Responses[[#This Row],[5. In the last month, how often have you felt that things were going well in your studies or personal life?]]="Almost never",3,IF(Form_Responses[[#This Row],[5. In the last month, how often have you felt that things were going well in your studies or personal life?]]="Sometimes",2,IF(Form_Responses[[#This Row],[5. In the last month, how often have you felt that things were going well in your studies or personal life?]]="Fairly often",1,0))))</f>
        <v>1</v>
      </c>
      <c r="BE55" s="3" t="s">
        <v>89</v>
      </c>
      <c r="BF55" s="4">
        <f>IF(Form_Responses[[#This Row],[6. In the last month, how often have you felt unable to cope with coursework, deadlines, or daily responsibilities?]]="Never",0,IF(Form_Responses[[#This Row],[6. In the last month, how often have you felt unable to cope with coursework, deadlines, or daily responsibilities?]]="Almost never",1,IF(Form_Responses[[#This Row],[6. In the last month, how often have you felt unable to cope with coursework, deadlines, or daily responsibilities?]]="Sometimes",2,IF(Form_Responses[[#This Row],[6. In the last month, how often have you felt unable to cope with coursework, deadlines, or daily responsibilities?]]="Fairly often",3,4))))</f>
        <v>2</v>
      </c>
      <c r="BG55" s="3" t="s">
        <v>89</v>
      </c>
      <c r="BH55" s="4">
        <f>IF(Form_Responses[[#This Row],[7. In the last month, how often have you been able to control irritations or frustrations in your life?]]="Never",4,IF(Form_Responses[[#This Row],[7. In the last month, how often have you been able to control irritations or frustrations in your life?]]="Almost never",3,IF(Form_Responses[[#This Row],[7. In the last month, how often have you been able to control irritations or frustrations in your life?]]="Sometimes",2,IF(Form_Responses[[#This Row],[7. In the last month, how often have you been able to control irritations or frustrations in your life?]]="Fairly often",1,0))))</f>
        <v>2</v>
      </c>
      <c r="BI55" s="3" t="s">
        <v>89</v>
      </c>
      <c r="BJ55" s="4">
        <f>IF(Form_Responses[[#This Row],[8. In the last month, how often have you felt that you were managing your academic and personal responsibilities well?]]="Never",4,IF(Form_Responses[[#This Row],[8. In the last month, how often have you felt that you were managing your academic and personal responsibilities well?]]="Almost never",3,IF(Form_Responses[[#This Row],[8. In the last month, how often have you felt that you were managing your academic and personal responsibilities well?]]="Sometimes",2,IF(Form_Responses[[#This Row],[8. In the last month, how often have you felt that you were managing your academic and personal responsibilities well?]]="Fairly often",1,0))))</f>
        <v>2</v>
      </c>
      <c r="BK55" s="3" t="s">
        <v>88</v>
      </c>
      <c r="BL55" s="5">
        <f>IF(Form_Responses[[#This Row],[9. In the last month, how often have you been angered or frustrated by situations outside your control, such as finances, academics, or relationships?]]="Never",0,IF(Form_Responses[[#This Row],[9. In the last month, how often have you been angered or frustrated by situations outside your control, such as finances, academics, or relationships?]]="Almost never",1,IF(Form_Responses[[#This Row],[9. In the last month, how often have you been angered or frustrated by situations outside your control, such as finances, academics, or relationships?]]="Sometimes",2,IF(Form_Responses[[#This Row],[9. In the last month, how often have you been angered or frustrated by situations outside your control, such as finances, academics, or relationships?]]="Fairly often",3,4))))</f>
        <v>3</v>
      </c>
      <c r="BM55" s="3" t="s">
        <v>89</v>
      </c>
      <c r="BN55" s="4">
        <f>IF(Form_Responses[[#This Row],[10. In the last month, how often have you felt that difficulties were piling up so much that you could not overcome them?]]="Never",0,IF(Form_Responses[[#This Row],[10. In the last month, how often have you felt that difficulties were piling up so much that you could not overcome them?]]="Almost never",1,IF(Form_Responses[[#This Row],[10. In the last month, how often have you felt that difficulties were piling up so much that you could not overcome them?]]="Sometimes",2,IF(Form_Responses[[#This Row],[10. In the last month, how often have you felt that difficulties were piling up so much that you could not overcome them?]]="Fairly often",3,4))))</f>
        <v>2</v>
      </c>
      <c r="BO55" s="4">
        <f>SUM(Form_Responses[[#This Row],[Score17]],Form_Responses[[#This Row],[Score18]],Form_Responses[[#This Row],[Score19]],Form_Responses[[#This Row],[Score20]],Form_Responses[[#This Row],[Score21]],Form_Responses[[#This Row],[Score22]],Form_Responses[[#This Row],[Score23]],Form_Responses[[#This Row],[Score24]],Form_Responses[[#This Row],[Score25]],Form_Responses[[#This Row],[Score26]])</f>
        <v>18</v>
      </c>
      <c r="BP55" s="4" t="str">
        <f>IF(Form_Responses[[#This Row],[Anxiety Score2]]&lt;=13,"Low stress",IF(Form_Responses[[#This Row],[Anxiety Score2]]&lt;=26,"Moderate stress","High stress"))</f>
        <v xml:space="preserve">Moderate stress</v>
      </c>
      <c r="BQ55" s="3" t="s">
        <v>91</v>
      </c>
      <c r="BR55" s="3" t="s">
        <v>76</v>
      </c>
      <c r="BS55" s="3" t="s">
        <v>359</v>
      </c>
      <c r="BT55" s="3" t="s">
        <v>264</v>
      </c>
      <c r="BU55" s="3" t="s">
        <v>76</v>
      </c>
      <c r="BV55" s="3" t="s">
        <v>180</v>
      </c>
      <c r="BW55" s="3" t="s">
        <v>360</v>
      </c>
      <c r="BX55" s="3" t="s">
        <v>361</v>
      </c>
    </row>
    <row r="56" ht="22.5" customHeight="1">
      <c r="A56" s="2">
        <v>46202.839719178242</v>
      </c>
      <c r="B56" s="3" t="s">
        <v>76</v>
      </c>
      <c r="C56" s="3" t="s">
        <v>77</v>
      </c>
      <c r="D56" s="3" t="s">
        <v>112</v>
      </c>
      <c r="E56" s="3" t="s">
        <v>357</v>
      </c>
      <c r="F56" s="3" t="s">
        <v>362</v>
      </c>
      <c r="G56" s="3" t="s">
        <v>100</v>
      </c>
      <c r="H56" s="3" t="s">
        <v>101</v>
      </c>
      <c r="I56" s="3" t="s">
        <v>102</v>
      </c>
      <c r="J56" s="3" t="s">
        <v>84</v>
      </c>
      <c r="K56" s="3" t="s">
        <v>87</v>
      </c>
      <c r="L56" s="4">
        <f>IF(K56="Not at all",0,IF(K56="Several days",1,IF(K56="More than half the days",2,3)))</f>
        <v>2</v>
      </c>
      <c r="M56" s="3" t="s">
        <v>104</v>
      </c>
      <c r="N56" s="4">
        <f>IF(M56="Not at all",0,IF(M56="Several days",1,IF(M56="More than half the days",2,3)))</f>
        <v>3</v>
      </c>
      <c r="O56" s="3" t="s">
        <v>104</v>
      </c>
      <c r="P56" s="5">
        <f>IF(O56="Not at all",0,IF(O56="Several days",1,IF(O56="More than half the days",2,3)))</f>
        <v>3</v>
      </c>
      <c r="Q56" s="3" t="s">
        <v>87</v>
      </c>
      <c r="R56" s="4">
        <f>IF(Q56="Not at all",0,IF(Q56="Several days",1,IF(Q56="More than half the days",2,3)))</f>
        <v>2</v>
      </c>
      <c r="S56" s="3" t="s">
        <v>104</v>
      </c>
      <c r="T56" s="4">
        <f>IF(S56="Not at all",0,IF(S56="Several days",1,IF(S56="More than half the days",2,3)))</f>
        <v>3</v>
      </c>
      <c r="U56" s="3" t="s">
        <v>104</v>
      </c>
      <c r="V56" s="4">
        <f>IF(U56="Not at all",0,IF(U56="Several days",1,IF(U56="More than half the days",2,3)))</f>
        <v>3</v>
      </c>
      <c r="W56" s="3" t="s">
        <v>104</v>
      </c>
      <c r="X56" s="4">
        <f>IF(W56="Not at all",0,IF(W56="Several days",1,IF(W56="More than half the days",2,3)))</f>
        <v>3</v>
      </c>
      <c r="Y56" s="3" t="s">
        <v>87</v>
      </c>
      <c r="Z56" s="4">
        <f>IF(Y56="Not at all",0,IF(Y56="Several days",1,IF(Y56="More than half the days",2,3)))</f>
        <v>2</v>
      </c>
      <c r="AA56" s="3" t="s">
        <v>104</v>
      </c>
      <c r="AB56" s="4">
        <f>IF(AA56="Not at all",0,IF(AA56="Several days",1,IF(AA56="More than half the days",2,3)))</f>
        <v>3</v>
      </c>
      <c r="AC56" s="4">
        <f>SUM(Form_Responses[[#This Row],[Score]],Form_Responses[[#This Row],[Score2]],Form_Responses[[#This Row],[Score3]],Form_Responses[[#This Row],[Score4]],Form_Responses[[#This Row],[Score5]],Form_Responses[[#This Row],[Score6]],Form_Responses[[#This Row],[Score7]],Form_Responses[[#This Row],[Score8]],Form_Responses[[#This Row],[Score9]])</f>
        <v>24</v>
      </c>
      <c r="AD56" s="4" t="str">
        <f>IF(Form_Responses[[#This Row],[Depression Score ]]&lt;=4,"Minimal symptoms",IF(Form_Responses[[#This Row],[Depression Score ]]&lt;=9,"Mild Depression",IF(Form_Responses[[#This Row],[Depression Score ]]&lt;=14,"Moderate depression",IF(Form_Responses[[#This Row],[Depression Score ]]&lt;=19,"Moderately severe depression","Severe depression"))))</f>
        <v xml:space="preserve">Severe depression</v>
      </c>
      <c r="AE56" s="3" t="s">
        <v>87</v>
      </c>
      <c r="AF56" s="4">
        <f>IF(AE56="Not at all",0,IF(AE56="Several days",1,IF(AE56="More than half the days",2,3)))</f>
        <v>2</v>
      </c>
      <c r="AG56" s="3" t="s">
        <v>87</v>
      </c>
      <c r="AH56" s="4">
        <f>IF(AG56="Not at all",0,IF(AG56="Several days",1,IF(AG56="More than half the days",2,3)))</f>
        <v>2</v>
      </c>
      <c r="AI56" s="3" t="s">
        <v>104</v>
      </c>
      <c r="AJ56" s="4">
        <f>IF(AI56="Not at all",0,IF(AI56="Several days",1,IF(AI56="More than half the days",2,3)))</f>
        <v>3</v>
      </c>
      <c r="AK56" s="3" t="s">
        <v>104</v>
      </c>
      <c r="AL56" s="4">
        <f>IF(AK56="Not at all",0,IF(AK56="Several days",1,IF(AK56="More than half the days",2,3)))</f>
        <v>3</v>
      </c>
      <c r="AM56" s="3" t="s">
        <v>104</v>
      </c>
      <c r="AN56" s="4">
        <f>IF(AM56="Not at all",0,IF(AM56="Several days",1,IF(AM56="More than half the days",2,3)))</f>
        <v>3</v>
      </c>
      <c r="AO56" s="3" t="s">
        <v>104</v>
      </c>
      <c r="AP56" s="4">
        <f>IF(AO56="Not at all",0,IF(AO56="Several days",1,IF(AO56="More than half the days",2,3)))</f>
        <v>3</v>
      </c>
      <c r="AQ56" s="3" t="s">
        <v>104</v>
      </c>
      <c r="AR56" s="4">
        <f>IF(AQ56="Not at all",0,IF(AQ56="Several days",1,IF(AQ56="More than half the days",2,3)))</f>
        <v>3</v>
      </c>
      <c r="AS56" s="4">
        <f>SUM(Form_Responses[[#This Row],[Score16]],Form_Responses[[#This Row],[Score10]],Form_Responses[[#This Row],[Score11]],Form_Responses[[#This Row],[Score12]],Form_Responses[[#This Row],[Score13]],Form_Responses[[#This Row],[Score14]],Form_Responses[[#This Row],[Score15]])</f>
        <v>19</v>
      </c>
      <c r="AT56" s="4" t="str">
        <f>IF(Form_Responses[[#This Row],[Anxiety Score]]&lt;=4,"Minimal anxiety",IF(Form_Responses[[#This Row],[Anxiety Score]]&lt;=9,"Mild anxiety",IF(Form_Responses[[#This Row],[Anxiety Score]]&lt;=14,"Moderate anxiety","Severe anxiety")))</f>
        <v xml:space="preserve">Severe anxiety</v>
      </c>
      <c r="AU56" s="3" t="s">
        <v>88</v>
      </c>
      <c r="AV56" s="4">
        <f>IF(Form_Responses[[#This Row],[1. In the last month, how often have you been upset because of unexpected situations related to academics, finances, or personal life?]]="Never",0,IF(Form_Responses[[#This Row],[1. In the last month, how often have you been upset because of unexpected situations related to academics, finances, or personal life?]]="Almost never",1,IF(Form_Responses[[#This Row],[1. In the last month, how often have you been upset because of unexpected situations related to academics, finances, or personal life?]]="Sometimes",2,IF(Form_Responses[[#This Row],[1. In the last month, how often have you been upset because of unexpected situations related to academics, finances, or personal life?]]="Fairly often",3,4))))</f>
        <v>3</v>
      </c>
      <c r="AW56" s="3" t="s">
        <v>88</v>
      </c>
      <c r="AX56" s="5">
        <f>IF(Form_Responses[[#This Row],[2. In the last month, how often have you felt unable to control important things in your academic or personal life?]]="Never",0,IF(Form_Responses[[#This Row],[2. In the last month, how often have you felt unable to control important things in your academic or personal life?]]="Almost never",1,IF(Form_Responses[[#This Row],[2. In the last month, how often have you felt unable to control important things in your academic or personal life?]]="Sometimes",2,IF(Form_Responses[[#This Row],[2. In the last month, how often have you felt unable to control important things in your academic or personal life?]]="Fairly often",3,4))))</f>
        <v>3</v>
      </c>
      <c r="AY56" s="3" t="s">
        <v>105</v>
      </c>
      <c r="AZ56" s="4">
        <f>IF(Form_Responses[[#This Row],[3. In the last month, how often have you felt nervous or stressed because of university responsibilities or personal challenges?]]="Never",0,IF(Form_Responses[[#This Row],[3. In the last month, how often have you felt nervous or stressed because of university responsibilities or personal challenges?]]="Almost never",1,IF(Form_Responses[[#This Row],[3. In the last month, how often have you felt nervous or stressed because of university responsibilities or personal challenges?]]="Sometimes",2,IF(Form_Responses[[#This Row],[3. In the last month, how often have you felt nervous or stressed because of university responsibilities or personal challenges?]]="Fairly often",3,4))))</f>
        <v>4</v>
      </c>
      <c r="BA56" s="3" t="s">
        <v>124</v>
      </c>
      <c r="BB56" s="4">
        <f>IF(Form_Responses[[#This Row],[4. In the last month, how often have you felt confident about your ability to handle academic or personal problems?]]="Never",4,IF(Form_Responses[[#This Row],[4. In the last month, how often have you felt confident about your ability to handle academic or personal problems?]]="Almost never",3,IF(Form_Responses[[#This Row],[4. In the last month, how often have you felt confident about your ability to handle academic or personal problems?]]="Sometimes",2,IF(Form_Responses[[#This Row],[4. In the last month, how often have you felt confident about your ability to handle academic or personal problems?]]="Fairly often",1,0))))</f>
        <v>4</v>
      </c>
      <c r="BC56" s="3" t="s">
        <v>105</v>
      </c>
      <c r="BD56" s="4">
        <f>IF(Form_Responses[[#This Row],[5. In the last month, how often have you felt that things were going well in your studies or personal life?]]="Never",4,IF(Form_Responses[[#This Row],[5. In the last month, how often have you felt that things were going well in your studies or personal life?]]="Almost never",3,IF(Form_Responses[[#This Row],[5. In the last month, how often have you felt that things were going well in your studies or personal life?]]="Sometimes",2,IF(Form_Responses[[#This Row],[5. In the last month, how often have you felt that things were going well in your studies or personal life?]]="Fairly often",1,0))))</f>
        <v>0</v>
      </c>
      <c r="BE56" s="3" t="s">
        <v>105</v>
      </c>
      <c r="BF56" s="4">
        <f>IF(Form_Responses[[#This Row],[6. In the last month, how often have you felt unable to cope with coursework, deadlines, or daily responsibilities?]]="Never",0,IF(Form_Responses[[#This Row],[6. In the last month, how often have you felt unable to cope with coursework, deadlines, or daily responsibilities?]]="Almost never",1,IF(Form_Responses[[#This Row],[6. In the last month, how often have you felt unable to cope with coursework, deadlines, or daily responsibilities?]]="Sometimes",2,IF(Form_Responses[[#This Row],[6. In the last month, how often have you felt unable to cope with coursework, deadlines, or daily responsibilities?]]="Fairly often",3,4))))</f>
        <v>4</v>
      </c>
      <c r="BG56" s="3" t="s">
        <v>105</v>
      </c>
      <c r="BH56" s="4">
        <f>IF(Form_Responses[[#This Row],[7. In the last month, how often have you been able to control irritations or frustrations in your life?]]="Never",4,IF(Form_Responses[[#This Row],[7. In the last month, how often have you been able to control irritations or frustrations in your life?]]="Almost never",3,IF(Form_Responses[[#This Row],[7. In the last month, how often have you been able to control irritations or frustrations in your life?]]="Sometimes",2,IF(Form_Responses[[#This Row],[7. In the last month, how often have you been able to control irritations or frustrations in your life?]]="Fairly often",1,0))))</f>
        <v>0</v>
      </c>
      <c r="BI56" s="3" t="s">
        <v>88</v>
      </c>
      <c r="BJ56" s="4">
        <f>IF(Form_Responses[[#This Row],[8. In the last month, how often have you felt that you were managing your academic and personal responsibilities well?]]="Never",4,IF(Form_Responses[[#This Row],[8. In the last month, how often have you felt that you were managing your academic and personal responsibilities well?]]="Almost never",3,IF(Form_Responses[[#This Row],[8. In the last month, how often have you felt that you were managing your academic and personal responsibilities well?]]="Sometimes",2,IF(Form_Responses[[#This Row],[8. In the last month, how often have you felt that you were managing your academic and personal responsibilities well?]]="Fairly often",1,0))))</f>
        <v>1</v>
      </c>
      <c r="BK56" s="3" t="s">
        <v>105</v>
      </c>
      <c r="BL56" s="5">
        <f>IF(Form_Responses[[#This Row],[9. In the last month, how often have you been angered or frustrated by situations outside your control, such as finances, academics, or relationships?]]="Never",0,IF(Form_Responses[[#This Row],[9. In the last month, how often have you been angered or frustrated by situations outside your control, such as finances, academics, or relationships?]]="Almost never",1,IF(Form_Responses[[#This Row],[9. In the last month, how often have you been angered or frustrated by situations outside your control, such as finances, academics, or relationships?]]="Sometimes",2,IF(Form_Responses[[#This Row],[9. In the last month, how often have you been angered or frustrated by situations outside your control, such as finances, academics, or relationships?]]="Fairly often",3,4))))</f>
        <v>4</v>
      </c>
      <c r="BM56" s="3" t="s">
        <v>105</v>
      </c>
      <c r="BN56" s="4">
        <f>IF(Form_Responses[[#This Row],[10. In the last month, how often have you felt that difficulties were piling up so much that you could not overcome them?]]="Never",0,IF(Form_Responses[[#This Row],[10. In the last month, how often have you felt that difficulties were piling up so much that you could not overcome them?]]="Almost never",1,IF(Form_Responses[[#This Row],[10. In the last month, how often have you felt that difficulties were piling up so much that you could not overcome them?]]="Sometimes",2,IF(Form_Responses[[#This Row],[10. In the last month, how often have you felt that difficulties were piling up so much that you could not overcome them?]]="Fairly often",3,4))))</f>
        <v>4</v>
      </c>
      <c r="BO56" s="4">
        <f>SUM(Form_Responses[[#This Row],[Score17]],Form_Responses[[#This Row],[Score18]],Form_Responses[[#This Row],[Score19]],Form_Responses[[#This Row],[Score20]],Form_Responses[[#This Row],[Score21]],Form_Responses[[#This Row],[Score22]],Form_Responses[[#This Row],[Score23]],Form_Responses[[#This Row],[Score24]],Form_Responses[[#This Row],[Score25]],Form_Responses[[#This Row],[Score26]])</f>
        <v>27</v>
      </c>
      <c r="BP56" s="4" t="str">
        <f>IF(Form_Responses[[#This Row],[Anxiety Score2]]&lt;=13,"Low stress",IF(Form_Responses[[#This Row],[Anxiety Score2]]&lt;=26,"Moderate stress","High stress"))</f>
        <v xml:space="preserve">High stress</v>
      </c>
      <c r="BQ56" s="3" t="s">
        <v>76</v>
      </c>
      <c r="BR56" s="3" t="s">
        <v>106</v>
      </c>
      <c r="BS56" s="3" t="s">
        <v>289</v>
      </c>
      <c r="BT56" s="3" t="s">
        <v>341</v>
      </c>
      <c r="BU56" s="3" t="s">
        <v>91</v>
      </c>
      <c r="BV56" s="3" t="s">
        <v>363</v>
      </c>
      <c r="BW56" s="3" t="s">
        <v>364</v>
      </c>
      <c r="BX56" s="3" t="s">
        <v>365</v>
      </c>
    </row>
    <row r="57" ht="22.5" customHeight="1">
      <c r="A57" s="2">
        <v>46202.84585085648</v>
      </c>
      <c r="B57" s="3" t="s">
        <v>76</v>
      </c>
      <c r="C57" s="3" t="s">
        <v>77</v>
      </c>
      <c r="D57" s="3" t="s">
        <v>112</v>
      </c>
      <c r="E57" s="3" t="s">
        <v>357</v>
      </c>
      <c r="F57" s="3" t="s">
        <v>170</v>
      </c>
      <c r="G57" s="3" t="s">
        <v>100</v>
      </c>
      <c r="H57" s="3" t="s">
        <v>101</v>
      </c>
      <c r="I57" s="3" t="s">
        <v>102</v>
      </c>
      <c r="J57" s="3" t="s">
        <v>84</v>
      </c>
      <c r="K57" s="3" t="s">
        <v>86</v>
      </c>
      <c r="L57" s="4">
        <f>IF(K57="Not at all",0,IF(K57="Several days",1,IF(K57="More than half the days",2,3)))</f>
        <v>1</v>
      </c>
      <c r="M57" s="3" t="s">
        <v>87</v>
      </c>
      <c r="N57" s="4">
        <f>IF(M57="Not at all",0,IF(M57="Several days",1,IF(M57="More than half the days",2,3)))</f>
        <v>2</v>
      </c>
      <c r="O57" s="3" t="s">
        <v>86</v>
      </c>
      <c r="P57" s="5">
        <f>IF(O57="Not at all",0,IF(O57="Several days",1,IF(O57="More than half the days",2,3)))</f>
        <v>1</v>
      </c>
      <c r="Q57" s="3" t="s">
        <v>86</v>
      </c>
      <c r="R57" s="4">
        <f>IF(Q57="Not at all",0,IF(Q57="Several days",1,IF(Q57="More than half the days",2,3)))</f>
        <v>1</v>
      </c>
      <c r="S57" s="3" t="s">
        <v>86</v>
      </c>
      <c r="T57" s="4">
        <f>IF(S57="Not at all",0,IF(S57="Several days",1,IF(S57="More than half the days",2,3)))</f>
        <v>1</v>
      </c>
      <c r="U57" s="3" t="s">
        <v>85</v>
      </c>
      <c r="V57" s="4">
        <f>IF(U57="Not at all",0,IF(U57="Several days",1,IF(U57="More than half the days",2,3)))</f>
        <v>0</v>
      </c>
      <c r="W57" s="3" t="s">
        <v>86</v>
      </c>
      <c r="X57" s="4">
        <f>IF(W57="Not at all",0,IF(W57="Several days",1,IF(W57="More than half the days",2,3)))</f>
        <v>1</v>
      </c>
      <c r="Y57" s="3" t="s">
        <v>87</v>
      </c>
      <c r="Z57" s="4">
        <f>IF(Y57="Not at all",0,IF(Y57="Several days",1,IF(Y57="More than half the days",2,3)))</f>
        <v>2</v>
      </c>
      <c r="AA57" s="3" t="s">
        <v>85</v>
      </c>
      <c r="AB57" s="4">
        <f>IF(AA57="Not at all",0,IF(AA57="Several days",1,IF(AA57="More than half the days",2,3)))</f>
        <v>0</v>
      </c>
      <c r="AC57" s="4">
        <f>SUM(Form_Responses[[#This Row],[Score]],Form_Responses[[#This Row],[Score2]],Form_Responses[[#This Row],[Score3]],Form_Responses[[#This Row],[Score4]],Form_Responses[[#This Row],[Score5]],Form_Responses[[#This Row],[Score6]],Form_Responses[[#This Row],[Score7]],Form_Responses[[#This Row],[Score8]],Form_Responses[[#This Row],[Score9]])</f>
        <v>9</v>
      </c>
      <c r="AD57" s="4" t="str">
        <f>IF(Form_Responses[[#This Row],[Depression Score ]]&lt;=4,"Minimal symptoms",IF(Form_Responses[[#This Row],[Depression Score ]]&lt;=9,"Mild Depression",IF(Form_Responses[[#This Row],[Depression Score ]]&lt;=14,"Moderate depression",IF(Form_Responses[[#This Row],[Depression Score ]]&lt;=19,"Moderately severe depression","Severe depression"))))</f>
        <v xml:space="preserve">Mild Depression</v>
      </c>
      <c r="AE57" s="3" t="s">
        <v>85</v>
      </c>
      <c r="AF57" s="4">
        <f>IF(AE57="Not at all",0,IF(AE57="Several days",1,IF(AE57="More than half the days",2,3)))</f>
        <v>0</v>
      </c>
      <c r="AG57" s="3" t="s">
        <v>86</v>
      </c>
      <c r="AH57" s="4">
        <f>IF(AG57="Not at all",0,IF(AG57="Several days",1,IF(AG57="More than half the days",2,3)))</f>
        <v>1</v>
      </c>
      <c r="AI57" s="3" t="s">
        <v>86</v>
      </c>
      <c r="AJ57" s="4">
        <f>IF(AI57="Not at all",0,IF(AI57="Several days",1,IF(AI57="More than half the days",2,3)))</f>
        <v>1</v>
      </c>
      <c r="AK57" s="3" t="s">
        <v>87</v>
      </c>
      <c r="AL57" s="4">
        <f>IF(AK57="Not at all",0,IF(AK57="Several days",1,IF(AK57="More than half the days",2,3)))</f>
        <v>2</v>
      </c>
      <c r="AM57" s="3" t="s">
        <v>85</v>
      </c>
      <c r="AN57" s="4">
        <f>IF(AM57="Not at all",0,IF(AM57="Several days",1,IF(AM57="More than half the days",2,3)))</f>
        <v>0</v>
      </c>
      <c r="AO57" s="3" t="s">
        <v>87</v>
      </c>
      <c r="AP57" s="4">
        <f>IF(AO57="Not at all",0,IF(AO57="Several days",1,IF(AO57="More than half the days",2,3)))</f>
        <v>2</v>
      </c>
      <c r="AQ57" s="3" t="s">
        <v>85</v>
      </c>
      <c r="AR57" s="4">
        <f>IF(AQ57="Not at all",0,IF(AQ57="Several days",1,IF(AQ57="More than half the days",2,3)))</f>
        <v>0</v>
      </c>
      <c r="AS57" s="4">
        <f>SUM(Form_Responses[[#This Row],[Score16]],Form_Responses[[#This Row],[Score10]],Form_Responses[[#This Row],[Score11]],Form_Responses[[#This Row],[Score12]],Form_Responses[[#This Row],[Score13]],Form_Responses[[#This Row],[Score14]],Form_Responses[[#This Row],[Score15]])</f>
        <v>6</v>
      </c>
      <c r="AT57" s="4" t="str">
        <f>IF(Form_Responses[[#This Row],[Anxiety Score]]&lt;=4,"Minimal anxiety",IF(Form_Responses[[#This Row],[Anxiety Score]]&lt;=9,"Mild anxiety",IF(Form_Responses[[#This Row],[Anxiety Score]]&lt;=14,"Moderate anxiety","Severe anxiety")))</f>
        <v xml:space="preserve">Mild anxiety</v>
      </c>
      <c r="AU57" s="3" t="s">
        <v>89</v>
      </c>
      <c r="AV57" s="4">
        <f>IF(Form_Responses[[#This Row],[1. In the last month, how often have you been upset because of unexpected situations related to academics, finances, or personal life?]]="Never",0,IF(Form_Responses[[#This Row],[1. In the last month, how often have you been upset because of unexpected situations related to academics, finances, or personal life?]]="Almost never",1,IF(Form_Responses[[#This Row],[1. In the last month, how often have you been upset because of unexpected situations related to academics, finances, or personal life?]]="Sometimes",2,IF(Form_Responses[[#This Row],[1. In the last month, how often have you been upset because of unexpected situations related to academics, finances, or personal life?]]="Fairly often",3,4))))</f>
        <v>2</v>
      </c>
      <c r="AW57" s="3" t="s">
        <v>89</v>
      </c>
      <c r="AX57" s="5">
        <f>IF(Form_Responses[[#This Row],[2. In the last month, how often have you felt unable to control important things in your academic or personal life?]]="Never",0,IF(Form_Responses[[#This Row],[2. In the last month, how often have you felt unable to control important things in your academic or personal life?]]="Almost never",1,IF(Form_Responses[[#This Row],[2. In the last month, how often have you felt unable to control important things in your academic or personal life?]]="Sometimes",2,IF(Form_Responses[[#This Row],[2. In the last month, how often have you felt unable to control important things in your academic or personal life?]]="Fairly often",3,4))))</f>
        <v>2</v>
      </c>
      <c r="AY57" s="3" t="s">
        <v>89</v>
      </c>
      <c r="AZ57" s="4">
        <f>IF(Form_Responses[[#This Row],[3. In the last month, how often have you felt nervous or stressed because of university responsibilities or personal challenges?]]="Never",0,IF(Form_Responses[[#This Row],[3. In the last month, how often have you felt nervous or stressed because of university responsibilities or personal challenges?]]="Almost never",1,IF(Form_Responses[[#This Row],[3. In the last month, how often have you felt nervous or stressed because of university responsibilities or personal challenges?]]="Sometimes",2,IF(Form_Responses[[#This Row],[3. In the last month, how often have you felt nervous or stressed because of university responsibilities or personal challenges?]]="Fairly often",3,4))))</f>
        <v>2</v>
      </c>
      <c r="BA57" s="3" t="s">
        <v>89</v>
      </c>
      <c r="BB57" s="4">
        <f>IF(Form_Responses[[#This Row],[4. In the last month, how often have you felt confident about your ability to handle academic or personal problems?]]="Never",4,IF(Form_Responses[[#This Row],[4. In the last month, how often have you felt confident about your ability to handle academic or personal problems?]]="Almost never",3,IF(Form_Responses[[#This Row],[4. In the last month, how often have you felt confident about your ability to handle academic or personal problems?]]="Sometimes",2,IF(Form_Responses[[#This Row],[4. In the last month, how often have you felt confident about your ability to handle academic or personal problems?]]="Fairly often",1,0))))</f>
        <v>2</v>
      </c>
      <c r="BC57" s="3" t="s">
        <v>89</v>
      </c>
      <c r="BD57" s="4">
        <f>IF(Form_Responses[[#This Row],[5. In the last month, how often have you felt that things were going well in your studies or personal life?]]="Never",4,IF(Form_Responses[[#This Row],[5. In the last month, how often have you felt that things were going well in your studies or personal life?]]="Almost never",3,IF(Form_Responses[[#This Row],[5. In the last month, how often have you felt that things were going well in your studies or personal life?]]="Sometimes",2,IF(Form_Responses[[#This Row],[5. In the last month, how often have you felt that things were going well in your studies or personal life?]]="Fairly often",1,0))))</f>
        <v>2</v>
      </c>
      <c r="BE57" s="3" t="s">
        <v>89</v>
      </c>
      <c r="BF57" s="4">
        <f>IF(Form_Responses[[#This Row],[6. In the last month, how often have you felt unable to cope with coursework, deadlines, or daily responsibilities?]]="Never",0,IF(Form_Responses[[#This Row],[6. In the last month, how often have you felt unable to cope with coursework, deadlines, or daily responsibilities?]]="Almost never",1,IF(Form_Responses[[#This Row],[6. In the last month, how often have you felt unable to cope with coursework, deadlines, or daily responsibilities?]]="Sometimes",2,IF(Form_Responses[[#This Row],[6. In the last month, how often have you felt unable to cope with coursework, deadlines, or daily responsibilities?]]="Fairly often",3,4))))</f>
        <v>2</v>
      </c>
      <c r="BG57" s="3" t="s">
        <v>89</v>
      </c>
      <c r="BH57" s="4">
        <f>IF(Form_Responses[[#This Row],[7. In the last month, how often have you been able to control irritations or frustrations in your life?]]="Never",4,IF(Form_Responses[[#This Row],[7. In the last month, how often have you been able to control irritations or frustrations in your life?]]="Almost never",3,IF(Form_Responses[[#This Row],[7. In the last month, how often have you been able to control irritations or frustrations in your life?]]="Sometimes",2,IF(Form_Responses[[#This Row],[7. In the last month, how often have you been able to control irritations or frustrations in your life?]]="Fairly often",1,0))))</f>
        <v>2</v>
      </c>
      <c r="BI57" s="3" t="s">
        <v>89</v>
      </c>
      <c r="BJ57" s="4">
        <f>IF(Form_Responses[[#This Row],[8. In the last month, how often have you felt that you were managing your academic and personal responsibilities well?]]="Never",4,IF(Form_Responses[[#This Row],[8. In the last month, how often have you felt that you were managing your academic and personal responsibilities well?]]="Almost never",3,IF(Form_Responses[[#This Row],[8. In the last month, how often have you felt that you were managing your academic and personal responsibilities well?]]="Sometimes",2,IF(Form_Responses[[#This Row],[8. In the last month, how often have you felt that you were managing your academic and personal responsibilities well?]]="Fairly often",1,0))))</f>
        <v>2</v>
      </c>
      <c r="BK57" s="3" t="s">
        <v>89</v>
      </c>
      <c r="BL57" s="5">
        <f>IF(Form_Responses[[#This Row],[9. In the last month, how often have you been angered or frustrated by situations outside your control, such as finances, academics, or relationships?]]="Never",0,IF(Form_Responses[[#This Row],[9. In the last month, how often have you been angered or frustrated by situations outside your control, such as finances, academics, or relationships?]]="Almost never",1,IF(Form_Responses[[#This Row],[9. In the last month, how often have you been angered or frustrated by situations outside your control, such as finances, academics, or relationships?]]="Sometimes",2,IF(Form_Responses[[#This Row],[9. In the last month, how often have you been angered or frustrated by situations outside your control, such as finances, academics, or relationships?]]="Fairly often",3,4))))</f>
        <v>2</v>
      </c>
      <c r="BM57" s="3" t="s">
        <v>89</v>
      </c>
      <c r="BN57" s="4">
        <f>IF(Form_Responses[[#This Row],[10. In the last month, how often have you felt that difficulties were piling up so much that you could not overcome them?]]="Never",0,IF(Form_Responses[[#This Row],[10. In the last month, how often have you felt that difficulties were piling up so much that you could not overcome them?]]="Almost never",1,IF(Form_Responses[[#This Row],[10. In the last month, how often have you felt that difficulties were piling up so much that you could not overcome them?]]="Sometimes",2,IF(Form_Responses[[#This Row],[10. In the last month, how often have you felt that difficulties were piling up so much that you could not overcome them?]]="Fairly often",3,4))))</f>
        <v>2</v>
      </c>
      <c r="BO57" s="4">
        <f>SUM(Form_Responses[[#This Row],[Score17]],Form_Responses[[#This Row],[Score18]],Form_Responses[[#This Row],[Score19]],Form_Responses[[#This Row],[Score20]],Form_Responses[[#This Row],[Score21]],Form_Responses[[#This Row],[Score22]],Form_Responses[[#This Row],[Score23]],Form_Responses[[#This Row],[Score24]],Form_Responses[[#This Row],[Score25]],Form_Responses[[#This Row],[Score26]])</f>
        <v>20</v>
      </c>
      <c r="BP57" s="4" t="str">
        <f>IF(Form_Responses[[#This Row],[Anxiety Score2]]&lt;=13,"Low stress",IF(Form_Responses[[#This Row],[Anxiety Score2]]&lt;=26,"Moderate stress","High stress"))</f>
        <v xml:space="preserve">Moderate stress</v>
      </c>
      <c r="BQ57" s="3" t="s">
        <v>91</v>
      </c>
      <c r="BR57" s="3" t="s">
        <v>76</v>
      </c>
      <c r="BS57" s="3" t="s">
        <v>247</v>
      </c>
      <c r="BT57" s="3" t="s">
        <v>126</v>
      </c>
      <c r="BU57" s="3" t="s">
        <v>76</v>
      </c>
      <c r="BV57" s="3" t="s">
        <v>180</v>
      </c>
      <c r="BW57" s="3" t="s">
        <v>366</v>
      </c>
      <c r="BX57" s="3" t="s">
        <v>367</v>
      </c>
    </row>
    <row r="58" ht="22.5" customHeight="1">
      <c r="A58" s="2">
        <v>46202.847589097219</v>
      </c>
      <c r="B58" s="3" t="s">
        <v>76</v>
      </c>
      <c r="C58" s="3" t="s">
        <v>77</v>
      </c>
      <c r="D58" s="3" t="s">
        <v>112</v>
      </c>
      <c r="E58" s="3" t="s">
        <v>357</v>
      </c>
      <c r="F58" s="3" t="s">
        <v>170</v>
      </c>
      <c r="G58" s="3" t="s">
        <v>81</v>
      </c>
      <c r="H58" s="3" t="s">
        <v>101</v>
      </c>
      <c r="I58" s="3" t="s">
        <v>102</v>
      </c>
      <c r="J58" s="3" t="s">
        <v>84</v>
      </c>
      <c r="K58" s="3" t="s">
        <v>86</v>
      </c>
      <c r="L58" s="4">
        <f>IF(K58="Not at all",0,IF(K58="Several days",1,IF(K58="More than half the days",2,3)))</f>
        <v>1</v>
      </c>
      <c r="M58" s="3" t="s">
        <v>85</v>
      </c>
      <c r="N58" s="4">
        <f>IF(M58="Not at all",0,IF(M58="Several days",1,IF(M58="More than half the days",2,3)))</f>
        <v>0</v>
      </c>
      <c r="O58" s="3" t="s">
        <v>85</v>
      </c>
      <c r="P58" s="5">
        <f>IF(O58="Not at all",0,IF(O58="Several days",1,IF(O58="More than half the days",2,3)))</f>
        <v>0</v>
      </c>
      <c r="Q58" s="3" t="s">
        <v>86</v>
      </c>
      <c r="R58" s="4">
        <f>IF(Q58="Not at all",0,IF(Q58="Several days",1,IF(Q58="More than half the days",2,3)))</f>
        <v>1</v>
      </c>
      <c r="S58" s="3" t="s">
        <v>86</v>
      </c>
      <c r="T58" s="4">
        <f>IF(S58="Not at all",0,IF(S58="Several days",1,IF(S58="More than half the days",2,3)))</f>
        <v>1</v>
      </c>
      <c r="U58" s="3" t="s">
        <v>85</v>
      </c>
      <c r="V58" s="4">
        <f>IF(U58="Not at all",0,IF(U58="Several days",1,IF(U58="More than half the days",2,3)))</f>
        <v>0</v>
      </c>
      <c r="W58" s="3" t="s">
        <v>85</v>
      </c>
      <c r="X58" s="4">
        <f>IF(W58="Not at all",0,IF(W58="Several days",1,IF(W58="More than half the days",2,3)))</f>
        <v>0</v>
      </c>
      <c r="Y58" s="3" t="s">
        <v>85</v>
      </c>
      <c r="Z58" s="4">
        <f>IF(Y58="Not at all",0,IF(Y58="Several days",1,IF(Y58="More than half the days",2,3)))</f>
        <v>0</v>
      </c>
      <c r="AA58" s="3" t="s">
        <v>85</v>
      </c>
      <c r="AB58" s="4">
        <f>IF(AA58="Not at all",0,IF(AA58="Several days",1,IF(AA58="More than half the days",2,3)))</f>
        <v>0</v>
      </c>
      <c r="AC58" s="4">
        <f>SUM(Form_Responses[[#This Row],[Score]],Form_Responses[[#This Row],[Score2]],Form_Responses[[#This Row],[Score3]],Form_Responses[[#This Row],[Score4]],Form_Responses[[#This Row],[Score5]],Form_Responses[[#This Row],[Score6]],Form_Responses[[#This Row],[Score7]],Form_Responses[[#This Row],[Score8]],Form_Responses[[#This Row],[Score9]])</f>
        <v>3</v>
      </c>
      <c r="AD58" s="4" t="str">
        <f>IF(Form_Responses[[#This Row],[Depression Score ]]&lt;=4,"Minimal symptoms",IF(Form_Responses[[#This Row],[Depression Score ]]&lt;=9,"Mild Depression",IF(Form_Responses[[#This Row],[Depression Score ]]&lt;=14,"Moderate depression",IF(Form_Responses[[#This Row],[Depression Score ]]&lt;=19,"Moderately severe depression","Severe depression"))))</f>
        <v xml:space="preserve">Minimal symptoms</v>
      </c>
      <c r="AE58" s="3" t="s">
        <v>85</v>
      </c>
      <c r="AF58" s="4">
        <f>IF(AE58="Not at all",0,IF(AE58="Several days",1,IF(AE58="More than half the days",2,3)))</f>
        <v>0</v>
      </c>
      <c r="AG58" s="3" t="s">
        <v>85</v>
      </c>
      <c r="AH58" s="4">
        <f>IF(AG58="Not at all",0,IF(AG58="Several days",1,IF(AG58="More than half the days",2,3)))</f>
        <v>0</v>
      </c>
      <c r="AI58" s="3" t="s">
        <v>85</v>
      </c>
      <c r="AJ58" s="4">
        <f>IF(AI58="Not at all",0,IF(AI58="Several days",1,IF(AI58="More than half the days",2,3)))</f>
        <v>0</v>
      </c>
      <c r="AK58" s="3" t="s">
        <v>85</v>
      </c>
      <c r="AL58" s="4">
        <f>IF(AK58="Not at all",0,IF(AK58="Several days",1,IF(AK58="More than half the days",2,3)))</f>
        <v>0</v>
      </c>
      <c r="AM58" s="3" t="s">
        <v>85</v>
      </c>
      <c r="AN58" s="4">
        <f>IF(AM58="Not at all",0,IF(AM58="Several days",1,IF(AM58="More than half the days",2,3)))</f>
        <v>0</v>
      </c>
      <c r="AO58" s="3" t="s">
        <v>85</v>
      </c>
      <c r="AP58" s="4">
        <f>IF(AO58="Not at all",0,IF(AO58="Several days",1,IF(AO58="More than half the days",2,3)))</f>
        <v>0</v>
      </c>
      <c r="AQ58" s="3" t="s">
        <v>85</v>
      </c>
      <c r="AR58" s="4">
        <f>IF(AQ58="Not at all",0,IF(AQ58="Several days",1,IF(AQ58="More than half the days",2,3)))</f>
        <v>0</v>
      </c>
      <c r="AS58" s="4">
        <f>SUM(Form_Responses[[#This Row],[Score16]],Form_Responses[[#This Row],[Score10]],Form_Responses[[#This Row],[Score11]],Form_Responses[[#This Row],[Score12]],Form_Responses[[#This Row],[Score13]],Form_Responses[[#This Row],[Score14]],Form_Responses[[#This Row],[Score15]])</f>
        <v>0</v>
      </c>
      <c r="AT58" s="4" t="str">
        <f>IF(Form_Responses[[#This Row],[Anxiety Score]]&lt;=4,"Minimal anxiety",IF(Form_Responses[[#This Row],[Anxiety Score]]&lt;=9,"Mild anxiety",IF(Form_Responses[[#This Row],[Anxiety Score]]&lt;=14,"Moderate anxiety","Severe anxiety")))</f>
        <v xml:space="preserve">Minimal anxiety</v>
      </c>
      <c r="AU58" s="3" t="s">
        <v>105</v>
      </c>
      <c r="AV58" s="4">
        <f>IF(Form_Responses[[#This Row],[1. In the last month, how often have you been upset because of unexpected situations related to academics, finances, or personal life?]]="Never",0,IF(Form_Responses[[#This Row],[1. In the last month, how often have you been upset because of unexpected situations related to academics, finances, or personal life?]]="Almost never",1,IF(Form_Responses[[#This Row],[1. In the last month, how often have you been upset because of unexpected situations related to academics, finances, or personal life?]]="Sometimes",2,IF(Form_Responses[[#This Row],[1. In the last month, how often have you been upset because of unexpected situations related to academics, finances, or personal life?]]="Fairly often",3,4))))</f>
        <v>4</v>
      </c>
      <c r="AW58" s="3" t="s">
        <v>88</v>
      </c>
      <c r="AX58" s="5">
        <f>IF(Form_Responses[[#This Row],[2. In the last month, how often have you felt unable to control important things in your academic or personal life?]]="Never",0,IF(Form_Responses[[#This Row],[2. In the last month, how often have you felt unable to control important things in your academic or personal life?]]="Almost never",1,IF(Form_Responses[[#This Row],[2. In the last month, how often have you felt unable to control important things in your academic or personal life?]]="Sometimes",2,IF(Form_Responses[[#This Row],[2. In the last month, how often have you felt unable to control important things in your academic or personal life?]]="Fairly often",3,4))))</f>
        <v>3</v>
      </c>
      <c r="AY58" s="3" t="s">
        <v>88</v>
      </c>
      <c r="AZ58" s="4">
        <f>IF(Form_Responses[[#This Row],[3. In the last month, how often have you felt nervous or stressed because of university responsibilities or personal challenges?]]="Never",0,IF(Form_Responses[[#This Row],[3. In the last month, how often have you felt nervous or stressed because of university responsibilities or personal challenges?]]="Almost never",1,IF(Form_Responses[[#This Row],[3. In the last month, how often have you felt nervous or stressed because of university responsibilities or personal challenges?]]="Sometimes",2,IF(Form_Responses[[#This Row],[3. In the last month, how often have you felt nervous or stressed because of university responsibilities or personal challenges?]]="Fairly often",3,4))))</f>
        <v>3</v>
      </c>
      <c r="BA58" s="3" t="s">
        <v>88</v>
      </c>
      <c r="BB58" s="4">
        <f>IF(Form_Responses[[#This Row],[4. In the last month, how often have you felt confident about your ability to handle academic or personal problems?]]="Never",4,IF(Form_Responses[[#This Row],[4. In the last month, how often have you felt confident about your ability to handle academic or personal problems?]]="Almost never",3,IF(Form_Responses[[#This Row],[4. In the last month, how often have you felt confident about your ability to handle academic or personal problems?]]="Sometimes",2,IF(Form_Responses[[#This Row],[4. In the last month, how often have you felt confident about your ability to handle academic or personal problems?]]="Fairly often",1,0))))</f>
        <v>1</v>
      </c>
      <c r="BC58" s="3" t="s">
        <v>88</v>
      </c>
      <c r="BD58" s="4">
        <f>IF(Form_Responses[[#This Row],[5. In the last month, how often have you felt that things were going well in your studies or personal life?]]="Never",4,IF(Form_Responses[[#This Row],[5. In the last month, how often have you felt that things were going well in your studies or personal life?]]="Almost never",3,IF(Form_Responses[[#This Row],[5. In the last month, how often have you felt that things were going well in your studies or personal life?]]="Sometimes",2,IF(Form_Responses[[#This Row],[5. In the last month, how often have you felt that things were going well in your studies or personal life?]]="Fairly often",1,0))))</f>
        <v>1</v>
      </c>
      <c r="BE58" s="3" t="s">
        <v>88</v>
      </c>
      <c r="BF58" s="4">
        <f>IF(Form_Responses[[#This Row],[6. In the last month, how often have you felt unable to cope with coursework, deadlines, or daily responsibilities?]]="Never",0,IF(Form_Responses[[#This Row],[6. In the last month, how often have you felt unable to cope with coursework, deadlines, or daily responsibilities?]]="Almost never",1,IF(Form_Responses[[#This Row],[6. In the last month, how often have you felt unable to cope with coursework, deadlines, or daily responsibilities?]]="Sometimes",2,IF(Form_Responses[[#This Row],[6. In the last month, how often have you felt unable to cope with coursework, deadlines, or daily responsibilities?]]="Fairly often",3,4))))</f>
        <v>3</v>
      </c>
      <c r="BG58" s="3" t="s">
        <v>88</v>
      </c>
      <c r="BH58" s="4">
        <f>IF(Form_Responses[[#This Row],[7. In the last month, how often have you been able to control irritations or frustrations in your life?]]="Never",4,IF(Form_Responses[[#This Row],[7. In the last month, how often have you been able to control irritations or frustrations in your life?]]="Almost never",3,IF(Form_Responses[[#This Row],[7. In the last month, how often have you been able to control irritations or frustrations in your life?]]="Sometimes",2,IF(Form_Responses[[#This Row],[7. In the last month, how often have you been able to control irritations or frustrations in your life?]]="Fairly often",1,0))))</f>
        <v>1</v>
      </c>
      <c r="BI58" s="3" t="s">
        <v>89</v>
      </c>
      <c r="BJ58" s="4">
        <f>IF(Form_Responses[[#This Row],[8. In the last month, how often have you felt that you were managing your academic and personal responsibilities well?]]="Never",4,IF(Form_Responses[[#This Row],[8. In the last month, how often have you felt that you were managing your academic and personal responsibilities well?]]="Almost never",3,IF(Form_Responses[[#This Row],[8. In the last month, how often have you felt that you were managing your academic and personal responsibilities well?]]="Sometimes",2,IF(Form_Responses[[#This Row],[8. In the last month, how often have you felt that you were managing your academic and personal responsibilities well?]]="Fairly often",1,0))))</f>
        <v>2</v>
      </c>
      <c r="BK58" s="3" t="s">
        <v>89</v>
      </c>
      <c r="BL58" s="5">
        <f>IF(Form_Responses[[#This Row],[9. In the last month, how often have you been angered or frustrated by situations outside your control, such as finances, academics, or relationships?]]="Never",0,IF(Form_Responses[[#This Row],[9. In the last month, how often have you been angered or frustrated by situations outside your control, such as finances, academics, or relationships?]]="Almost never",1,IF(Form_Responses[[#This Row],[9. In the last month, how often have you been angered or frustrated by situations outside your control, such as finances, academics, or relationships?]]="Sometimes",2,IF(Form_Responses[[#This Row],[9. In the last month, how often have you been angered or frustrated by situations outside your control, such as finances, academics, or relationships?]]="Fairly often",3,4))))</f>
        <v>2</v>
      </c>
      <c r="BM58" s="3" t="s">
        <v>89</v>
      </c>
      <c r="BN58" s="4">
        <f>IF(Form_Responses[[#This Row],[10. In the last month, how often have you felt that difficulties were piling up so much that you could not overcome them?]]="Never",0,IF(Form_Responses[[#This Row],[10. In the last month, how often have you felt that difficulties were piling up so much that you could not overcome them?]]="Almost never",1,IF(Form_Responses[[#This Row],[10. In the last month, how often have you felt that difficulties were piling up so much that you could not overcome them?]]="Sometimes",2,IF(Form_Responses[[#This Row],[10. In the last month, how often have you felt that difficulties were piling up so much that you could not overcome them?]]="Fairly often",3,4))))</f>
        <v>2</v>
      </c>
      <c r="BO58" s="4">
        <f>SUM(Form_Responses[[#This Row],[Score17]],Form_Responses[[#This Row],[Score18]],Form_Responses[[#This Row],[Score19]],Form_Responses[[#This Row],[Score20]],Form_Responses[[#This Row],[Score21]],Form_Responses[[#This Row],[Score22]],Form_Responses[[#This Row],[Score23]],Form_Responses[[#This Row],[Score24]],Form_Responses[[#This Row],[Score25]],Form_Responses[[#This Row],[Score26]])</f>
        <v>22</v>
      </c>
      <c r="BP58" s="4" t="str">
        <f>IF(Form_Responses[[#This Row],[Anxiety Score2]]&lt;=13,"Low stress",IF(Form_Responses[[#This Row],[Anxiety Score2]]&lt;=26,"Moderate stress","High stress"))</f>
        <v xml:space="preserve">Moderate stress</v>
      </c>
      <c r="BQ58" s="3" t="s">
        <v>91</v>
      </c>
      <c r="BR58" s="3" t="s">
        <v>76</v>
      </c>
      <c r="BS58" s="3" t="s">
        <v>107</v>
      </c>
      <c r="BT58" s="3" t="s">
        <v>108</v>
      </c>
      <c r="BU58" s="3" t="s">
        <v>76</v>
      </c>
      <c r="BV58" s="3" t="s">
        <v>368</v>
      </c>
      <c r="BW58" s="3" t="s">
        <v>369</v>
      </c>
      <c r="BX58" s="3" t="s">
        <v>370</v>
      </c>
    </row>
    <row r="59" ht="22.5" customHeight="1">
      <c r="A59" s="2">
        <v>46202.848286539353</v>
      </c>
      <c r="B59" s="3" t="s">
        <v>76</v>
      </c>
      <c r="C59" s="3" t="s">
        <v>77</v>
      </c>
      <c r="D59" s="3" t="s">
        <v>78</v>
      </c>
      <c r="E59" s="3" t="s">
        <v>79</v>
      </c>
      <c r="F59" s="3" t="s">
        <v>371</v>
      </c>
      <c r="G59" s="3" t="s">
        <v>81</v>
      </c>
      <c r="H59" s="3" t="s">
        <v>101</v>
      </c>
      <c r="I59" s="3" t="s">
        <v>83</v>
      </c>
      <c r="J59" s="3" t="s">
        <v>160</v>
      </c>
      <c r="K59" s="3" t="s">
        <v>142</v>
      </c>
      <c r="L59" s="4">
        <f>IF(K59="Not at all",0,IF(K59="Several days",1,IF(K59="More than half the days",2,3)))</f>
        <v>3</v>
      </c>
      <c r="M59" s="3" t="s">
        <v>87</v>
      </c>
      <c r="N59" s="4">
        <f>IF(M59="Not at all",0,IF(M59="Several days",1,IF(M59="More than half the days",2,3)))</f>
        <v>2</v>
      </c>
      <c r="O59" s="3" t="s">
        <v>87</v>
      </c>
      <c r="P59" s="5">
        <f>IF(O59="Not at all",0,IF(O59="Several days",1,IF(O59="More than half the days",2,3)))</f>
        <v>2</v>
      </c>
      <c r="Q59" s="3" t="s">
        <v>87</v>
      </c>
      <c r="R59" s="4">
        <f>IF(Q59="Not at all",0,IF(Q59="Several days",1,IF(Q59="More than half the days",2,3)))</f>
        <v>2</v>
      </c>
      <c r="S59" s="3" t="s">
        <v>104</v>
      </c>
      <c r="T59" s="4">
        <f>IF(S59="Not at all",0,IF(S59="Several days",1,IF(S59="More than half the days",2,3)))</f>
        <v>3</v>
      </c>
      <c r="U59" s="3" t="s">
        <v>87</v>
      </c>
      <c r="V59" s="4">
        <f>IF(U59="Not at all",0,IF(U59="Several days",1,IF(U59="More than half the days",2,3)))</f>
        <v>2</v>
      </c>
      <c r="W59" s="3" t="s">
        <v>104</v>
      </c>
      <c r="X59" s="4">
        <f>IF(W59="Not at all",0,IF(W59="Several days",1,IF(W59="More than half the days",2,3)))</f>
        <v>3</v>
      </c>
      <c r="Y59" s="3" t="s">
        <v>87</v>
      </c>
      <c r="Z59" s="4">
        <f>IF(Y59="Not at all",0,IF(Y59="Several days",1,IF(Y59="More than half the days",2,3)))</f>
        <v>2</v>
      </c>
      <c r="AA59" s="3" t="s">
        <v>85</v>
      </c>
      <c r="AB59" s="4">
        <f>IF(AA59="Not at all",0,IF(AA59="Several days",1,IF(AA59="More than half the days",2,3)))</f>
        <v>0</v>
      </c>
      <c r="AC59" s="4">
        <f>SUM(Form_Responses[[#This Row],[Score]],Form_Responses[[#This Row],[Score2]],Form_Responses[[#This Row],[Score3]],Form_Responses[[#This Row],[Score4]],Form_Responses[[#This Row],[Score5]],Form_Responses[[#This Row],[Score6]],Form_Responses[[#This Row],[Score7]],Form_Responses[[#This Row],[Score8]],Form_Responses[[#This Row],[Score9]])</f>
        <v>19</v>
      </c>
      <c r="AD59" s="4" t="str">
        <f>IF(Form_Responses[[#This Row],[Depression Score ]]&lt;=4,"Minimal symptoms",IF(Form_Responses[[#This Row],[Depression Score ]]&lt;=9,"Mild Depression",IF(Form_Responses[[#This Row],[Depression Score ]]&lt;=14,"Moderate depression",IF(Form_Responses[[#This Row],[Depression Score ]]&lt;=19,"Moderately severe depression","Severe depression"))))</f>
        <v xml:space="preserve">Moderately severe depression</v>
      </c>
      <c r="AE59" s="3" t="s">
        <v>86</v>
      </c>
      <c r="AF59" s="4">
        <f>IF(AE59="Not at all",0,IF(AE59="Several days",1,IF(AE59="More than half the days",2,3)))</f>
        <v>1</v>
      </c>
      <c r="AG59" s="3" t="s">
        <v>104</v>
      </c>
      <c r="AH59" s="4">
        <f>IF(AG59="Not at all",0,IF(AG59="Several days",1,IF(AG59="More than half the days",2,3)))</f>
        <v>3</v>
      </c>
      <c r="AI59" s="3" t="s">
        <v>104</v>
      </c>
      <c r="AJ59" s="4">
        <f>IF(AI59="Not at all",0,IF(AI59="Several days",1,IF(AI59="More than half the days",2,3)))</f>
        <v>3</v>
      </c>
      <c r="AK59" s="3" t="s">
        <v>104</v>
      </c>
      <c r="AL59" s="4">
        <f>IF(AK59="Not at all",0,IF(AK59="Several days",1,IF(AK59="More than half the days",2,3)))</f>
        <v>3</v>
      </c>
      <c r="AM59" s="3" t="s">
        <v>85</v>
      </c>
      <c r="AN59" s="4">
        <f>IF(AM59="Not at all",0,IF(AM59="Several days",1,IF(AM59="More than half the days",2,3)))</f>
        <v>0</v>
      </c>
      <c r="AO59" s="3" t="s">
        <v>85</v>
      </c>
      <c r="AP59" s="4">
        <f>IF(AO59="Not at all",0,IF(AO59="Several days",1,IF(AO59="More than half the days",2,3)))</f>
        <v>0</v>
      </c>
      <c r="AQ59" s="3" t="s">
        <v>104</v>
      </c>
      <c r="AR59" s="4">
        <f>IF(AQ59="Not at all",0,IF(AQ59="Several days",1,IF(AQ59="More than half the days",2,3)))</f>
        <v>3</v>
      </c>
      <c r="AS59" s="4">
        <f>SUM(Form_Responses[[#This Row],[Score16]],Form_Responses[[#This Row],[Score10]],Form_Responses[[#This Row],[Score11]],Form_Responses[[#This Row],[Score12]],Form_Responses[[#This Row],[Score13]],Form_Responses[[#This Row],[Score14]],Form_Responses[[#This Row],[Score15]])</f>
        <v>13</v>
      </c>
      <c r="AT59" s="4" t="str">
        <f>IF(Form_Responses[[#This Row],[Anxiety Score]]&lt;=4,"Minimal anxiety",IF(Form_Responses[[#This Row],[Anxiety Score]]&lt;=9,"Mild anxiety",IF(Form_Responses[[#This Row],[Anxiety Score]]&lt;=14,"Moderate anxiety","Severe anxiety")))</f>
        <v xml:space="preserve">Moderate anxiety</v>
      </c>
      <c r="AU59" s="3" t="s">
        <v>89</v>
      </c>
      <c r="AV59" s="4">
        <f>IF(Form_Responses[[#This Row],[1. In the last month, how often have you been upset because of unexpected situations related to academics, finances, or personal life?]]="Never",0,IF(Form_Responses[[#This Row],[1. In the last month, how often have you been upset because of unexpected situations related to academics, finances, or personal life?]]="Almost never",1,IF(Form_Responses[[#This Row],[1. In the last month, how often have you been upset because of unexpected situations related to academics, finances, or personal life?]]="Sometimes",2,IF(Form_Responses[[#This Row],[1. In the last month, how often have you been upset because of unexpected situations related to academics, finances, or personal life?]]="Fairly often",3,4))))</f>
        <v>2</v>
      </c>
      <c r="AW59" s="3" t="s">
        <v>88</v>
      </c>
      <c r="AX59" s="5">
        <f>IF(Form_Responses[[#This Row],[2. In the last month, how often have you felt unable to control important things in your academic or personal life?]]="Never",0,IF(Form_Responses[[#This Row],[2. In the last month, how often have you felt unable to control important things in your academic or personal life?]]="Almost never",1,IF(Form_Responses[[#This Row],[2. In the last month, how often have you felt unable to control important things in your academic or personal life?]]="Sometimes",2,IF(Form_Responses[[#This Row],[2. In the last month, how often have you felt unable to control important things in your academic or personal life?]]="Fairly often",3,4))))</f>
        <v>3</v>
      </c>
      <c r="AY59" s="3" t="s">
        <v>88</v>
      </c>
      <c r="AZ59" s="4">
        <f>IF(Form_Responses[[#This Row],[3. In the last month, how often have you felt nervous or stressed because of university responsibilities or personal challenges?]]="Never",0,IF(Form_Responses[[#This Row],[3. In the last month, how often have you felt nervous or stressed because of university responsibilities or personal challenges?]]="Almost never",1,IF(Form_Responses[[#This Row],[3. In the last month, how often have you felt nervous or stressed because of university responsibilities or personal challenges?]]="Sometimes",2,IF(Form_Responses[[#This Row],[3. In the last month, how often have you felt nervous or stressed because of university responsibilities or personal challenges?]]="Fairly often",3,4))))</f>
        <v>3</v>
      </c>
      <c r="BA59" s="3" t="s">
        <v>88</v>
      </c>
      <c r="BB59" s="4">
        <f>IF(Form_Responses[[#This Row],[4. In the last month, how often have you felt confident about your ability to handle academic or personal problems?]]="Never",4,IF(Form_Responses[[#This Row],[4. In the last month, how often have you felt confident about your ability to handle academic or personal problems?]]="Almost never",3,IF(Form_Responses[[#This Row],[4. In the last month, how often have you felt confident about your ability to handle academic or personal problems?]]="Sometimes",2,IF(Form_Responses[[#This Row],[4. In the last month, how often have you felt confident about your ability to handle academic or personal problems?]]="Fairly often",1,0))))</f>
        <v>1</v>
      </c>
      <c r="BC59" s="3" t="s">
        <v>88</v>
      </c>
      <c r="BD59" s="4">
        <f>IF(Form_Responses[[#This Row],[5. In the last month, how often have you felt that things were going well in your studies or personal life?]]="Never",4,IF(Form_Responses[[#This Row],[5. In the last month, how often have you felt that things were going well in your studies or personal life?]]="Almost never",3,IF(Form_Responses[[#This Row],[5. In the last month, how often have you felt that things were going well in your studies or personal life?]]="Sometimes",2,IF(Form_Responses[[#This Row],[5. In the last month, how often have you felt that things were going well in your studies or personal life?]]="Fairly often",1,0))))</f>
        <v>1</v>
      </c>
      <c r="BE59" s="3" t="s">
        <v>88</v>
      </c>
      <c r="BF59" s="4">
        <f>IF(Form_Responses[[#This Row],[6. In the last month, how often have you felt unable to cope with coursework, deadlines, or daily responsibilities?]]="Never",0,IF(Form_Responses[[#This Row],[6. In the last month, how often have you felt unable to cope with coursework, deadlines, or daily responsibilities?]]="Almost never",1,IF(Form_Responses[[#This Row],[6. In the last month, how often have you felt unable to cope with coursework, deadlines, or daily responsibilities?]]="Sometimes",2,IF(Form_Responses[[#This Row],[6. In the last month, how often have you felt unable to cope with coursework, deadlines, or daily responsibilities?]]="Fairly often",3,4))))</f>
        <v>3</v>
      </c>
      <c r="BG59" s="3" t="s">
        <v>88</v>
      </c>
      <c r="BH59" s="4">
        <f>IF(Form_Responses[[#This Row],[7. In the last month, how often have you been able to control irritations or frustrations in your life?]]="Never",4,IF(Form_Responses[[#This Row],[7. In the last month, how often have you been able to control irritations or frustrations in your life?]]="Almost never",3,IF(Form_Responses[[#This Row],[7. In the last month, how often have you been able to control irritations or frustrations in your life?]]="Sometimes",2,IF(Form_Responses[[#This Row],[7. In the last month, how often have you been able to control irritations or frustrations in your life?]]="Fairly often",1,0))))</f>
        <v>1</v>
      </c>
      <c r="BI59" s="3" t="s">
        <v>88</v>
      </c>
      <c r="BJ59" s="4">
        <f>IF(Form_Responses[[#This Row],[8. In the last month, how often have you felt that you were managing your academic and personal responsibilities well?]]="Never",4,IF(Form_Responses[[#This Row],[8. In the last month, how often have you felt that you were managing your academic and personal responsibilities well?]]="Almost never",3,IF(Form_Responses[[#This Row],[8. In the last month, how often have you felt that you were managing your academic and personal responsibilities well?]]="Sometimes",2,IF(Form_Responses[[#This Row],[8. In the last month, how often have you felt that you were managing your academic and personal responsibilities well?]]="Fairly often",1,0))))</f>
        <v>1</v>
      </c>
      <c r="BK59" s="3" t="s">
        <v>88</v>
      </c>
      <c r="BL59" s="5">
        <f>IF(Form_Responses[[#This Row],[9. In the last month, how often have you been angered or frustrated by situations outside your control, such as finances, academics, or relationships?]]="Never",0,IF(Form_Responses[[#This Row],[9. In the last month, how often have you been angered or frustrated by situations outside your control, such as finances, academics, or relationships?]]="Almost never",1,IF(Form_Responses[[#This Row],[9. In the last month, how often have you been angered or frustrated by situations outside your control, such as finances, academics, or relationships?]]="Sometimes",2,IF(Form_Responses[[#This Row],[9. In the last month, how often have you been angered or frustrated by situations outside your control, such as finances, academics, or relationships?]]="Fairly often",3,4))))</f>
        <v>3</v>
      </c>
      <c r="BM59" s="3" t="s">
        <v>88</v>
      </c>
      <c r="BN59" s="4">
        <f>IF(Form_Responses[[#This Row],[10. In the last month, how often have you felt that difficulties were piling up so much that you could not overcome them?]]="Never",0,IF(Form_Responses[[#This Row],[10. In the last month, how often have you felt that difficulties were piling up so much that you could not overcome them?]]="Almost never",1,IF(Form_Responses[[#This Row],[10. In the last month, how often have you felt that difficulties were piling up so much that you could not overcome them?]]="Sometimes",2,IF(Form_Responses[[#This Row],[10. In the last month, how often have you felt that difficulties were piling up so much that you could not overcome them?]]="Fairly often",3,4))))</f>
        <v>3</v>
      </c>
      <c r="BO59" s="4">
        <f>SUM(Form_Responses[[#This Row],[Score17]],Form_Responses[[#This Row],[Score18]],Form_Responses[[#This Row],[Score19]],Form_Responses[[#This Row],[Score20]],Form_Responses[[#This Row],[Score21]],Form_Responses[[#This Row],[Score22]],Form_Responses[[#This Row],[Score23]],Form_Responses[[#This Row],[Score24]],Form_Responses[[#This Row],[Score25]],Form_Responses[[#This Row],[Score26]])</f>
        <v>21</v>
      </c>
      <c r="BP59" s="4" t="str">
        <f>IF(Form_Responses[[#This Row],[Anxiety Score2]]&lt;=13,"Low stress",IF(Form_Responses[[#This Row],[Anxiety Score2]]&lt;=26,"Moderate stress","High stress"))</f>
        <v xml:space="preserve">Moderate stress</v>
      </c>
      <c r="BQ59" s="3" t="s">
        <v>91</v>
      </c>
      <c r="BR59" s="3" t="s">
        <v>106</v>
      </c>
      <c r="BS59" s="3" t="s">
        <v>372</v>
      </c>
      <c r="BT59" s="3" t="s">
        <v>373</v>
      </c>
      <c r="BU59" s="3" t="s">
        <v>76</v>
      </c>
      <c r="BV59" s="3" t="s">
        <v>374</v>
      </c>
      <c r="BW59" s="3" t="s">
        <v>375</v>
      </c>
      <c r="BX59" s="3" t="s">
        <v>376</v>
      </c>
    </row>
    <row r="60" ht="22.5" customHeight="1">
      <c r="A60" s="2">
        <v>46202.849435601849</v>
      </c>
      <c r="B60" s="3" t="s">
        <v>76</v>
      </c>
      <c r="C60" s="3" t="s">
        <v>97</v>
      </c>
      <c r="D60" s="3" t="s">
        <v>112</v>
      </c>
      <c r="E60" s="3" t="s">
        <v>197</v>
      </c>
      <c r="F60" s="3" t="s">
        <v>377</v>
      </c>
      <c r="G60" s="3" t="s">
        <v>100</v>
      </c>
      <c r="H60" s="3" t="s">
        <v>82</v>
      </c>
      <c r="I60" s="3" t="s">
        <v>114</v>
      </c>
      <c r="J60" s="3" t="s">
        <v>103</v>
      </c>
      <c r="K60" s="3" t="s">
        <v>86</v>
      </c>
      <c r="L60" s="4">
        <f>IF(K60="Not at all",0,IF(K60="Several days",1,IF(K60="More than half the days",2,3)))</f>
        <v>1</v>
      </c>
      <c r="M60" s="3" t="s">
        <v>86</v>
      </c>
      <c r="N60" s="4">
        <f>IF(M60="Not at all",0,IF(M60="Several days",1,IF(M60="More than half the days",2,3)))</f>
        <v>1</v>
      </c>
      <c r="O60" s="3" t="s">
        <v>86</v>
      </c>
      <c r="P60" s="5">
        <f>IF(O60="Not at all",0,IF(O60="Several days",1,IF(O60="More than half the days",2,3)))</f>
        <v>1</v>
      </c>
      <c r="Q60" s="3" t="s">
        <v>87</v>
      </c>
      <c r="R60" s="4">
        <f>IF(Q60="Not at all",0,IF(Q60="Several days",1,IF(Q60="More than half the days",2,3)))</f>
        <v>2</v>
      </c>
      <c r="S60" s="3" t="s">
        <v>86</v>
      </c>
      <c r="T60" s="4">
        <f>IF(S60="Not at all",0,IF(S60="Several days",1,IF(S60="More than half the days",2,3)))</f>
        <v>1</v>
      </c>
      <c r="U60" s="3" t="s">
        <v>87</v>
      </c>
      <c r="V60" s="4">
        <f>IF(U60="Not at all",0,IF(U60="Several days",1,IF(U60="More than half the days",2,3)))</f>
        <v>2</v>
      </c>
      <c r="W60" s="3" t="s">
        <v>86</v>
      </c>
      <c r="X60" s="4">
        <f>IF(W60="Not at all",0,IF(W60="Several days",1,IF(W60="More than half the days",2,3)))</f>
        <v>1</v>
      </c>
      <c r="Y60" s="3" t="s">
        <v>86</v>
      </c>
      <c r="Z60" s="4">
        <f>IF(Y60="Not at all",0,IF(Y60="Several days",1,IF(Y60="More than half the days",2,3)))</f>
        <v>1</v>
      </c>
      <c r="AA60" s="3" t="s">
        <v>85</v>
      </c>
      <c r="AB60" s="4">
        <f>IF(AA60="Not at all",0,IF(AA60="Several days",1,IF(AA60="More than half the days",2,3)))</f>
        <v>0</v>
      </c>
      <c r="AC60" s="4">
        <f>SUM(Form_Responses[[#This Row],[Score]],Form_Responses[[#This Row],[Score2]],Form_Responses[[#This Row],[Score3]],Form_Responses[[#This Row],[Score4]],Form_Responses[[#This Row],[Score5]],Form_Responses[[#This Row],[Score6]],Form_Responses[[#This Row],[Score7]],Form_Responses[[#This Row],[Score8]],Form_Responses[[#This Row],[Score9]])</f>
        <v>10</v>
      </c>
      <c r="AD60" s="4" t="str">
        <f>IF(Form_Responses[[#This Row],[Depression Score ]]&lt;=4,"Minimal symptoms",IF(Form_Responses[[#This Row],[Depression Score ]]&lt;=9,"Mild Depression",IF(Form_Responses[[#This Row],[Depression Score ]]&lt;=14,"Moderate depression",IF(Form_Responses[[#This Row],[Depression Score ]]&lt;=19,"Moderately severe depression","Severe depression"))))</f>
        <v xml:space="preserve">Moderate depression</v>
      </c>
      <c r="AE60" s="3" t="s">
        <v>86</v>
      </c>
      <c r="AF60" s="4">
        <f>IF(AE60="Not at all",0,IF(AE60="Several days",1,IF(AE60="More than half the days",2,3)))</f>
        <v>1</v>
      </c>
      <c r="AG60" s="3" t="s">
        <v>86</v>
      </c>
      <c r="AH60" s="4">
        <f>IF(AG60="Not at all",0,IF(AG60="Several days",1,IF(AG60="More than half the days",2,3)))</f>
        <v>1</v>
      </c>
      <c r="AI60" s="3" t="s">
        <v>86</v>
      </c>
      <c r="AJ60" s="4">
        <f>IF(AI60="Not at all",0,IF(AI60="Several days",1,IF(AI60="More than half the days",2,3)))</f>
        <v>1</v>
      </c>
      <c r="AK60" s="3" t="s">
        <v>86</v>
      </c>
      <c r="AL60" s="4">
        <f>IF(AK60="Not at all",0,IF(AK60="Several days",1,IF(AK60="More than half the days",2,3)))</f>
        <v>1</v>
      </c>
      <c r="AM60" s="3" t="s">
        <v>86</v>
      </c>
      <c r="AN60" s="4">
        <f>IF(AM60="Not at all",0,IF(AM60="Several days",1,IF(AM60="More than half the days",2,3)))</f>
        <v>1</v>
      </c>
      <c r="AO60" s="3" t="s">
        <v>87</v>
      </c>
      <c r="AP60" s="4">
        <f>IF(AO60="Not at all",0,IF(AO60="Several days",1,IF(AO60="More than half the days",2,3)))</f>
        <v>2</v>
      </c>
      <c r="AQ60" s="3" t="s">
        <v>85</v>
      </c>
      <c r="AR60" s="4">
        <f>IF(AQ60="Not at all",0,IF(AQ60="Several days",1,IF(AQ60="More than half the days",2,3)))</f>
        <v>0</v>
      </c>
      <c r="AS60" s="4">
        <f>SUM(Form_Responses[[#This Row],[Score16]],Form_Responses[[#This Row],[Score10]],Form_Responses[[#This Row],[Score11]],Form_Responses[[#This Row],[Score12]],Form_Responses[[#This Row],[Score13]],Form_Responses[[#This Row],[Score14]],Form_Responses[[#This Row],[Score15]])</f>
        <v>7</v>
      </c>
      <c r="AT60" s="4" t="str">
        <f>IF(Form_Responses[[#This Row],[Anxiety Score]]&lt;=4,"Minimal anxiety",IF(Form_Responses[[#This Row],[Anxiety Score]]&lt;=9,"Mild anxiety",IF(Form_Responses[[#This Row],[Anxiety Score]]&lt;=14,"Moderate anxiety","Severe anxiety")))</f>
        <v xml:space="preserve">Mild anxiety</v>
      </c>
      <c r="AU60" s="3" t="s">
        <v>88</v>
      </c>
      <c r="AV60" s="4">
        <f>IF(Form_Responses[[#This Row],[1. In the last month, how often have you been upset because of unexpected situations related to academics, finances, or personal life?]]="Never",0,IF(Form_Responses[[#This Row],[1. In the last month, how often have you been upset because of unexpected situations related to academics, finances, or personal life?]]="Almost never",1,IF(Form_Responses[[#This Row],[1. In the last month, how often have you been upset because of unexpected situations related to academics, finances, or personal life?]]="Sometimes",2,IF(Form_Responses[[#This Row],[1. In the last month, how often have you been upset because of unexpected situations related to academics, finances, or personal life?]]="Fairly often",3,4))))</f>
        <v>3</v>
      </c>
      <c r="AW60" s="3" t="s">
        <v>88</v>
      </c>
      <c r="AX60" s="5">
        <f>IF(Form_Responses[[#This Row],[2. In the last month, how often have you felt unable to control important things in your academic or personal life?]]="Never",0,IF(Form_Responses[[#This Row],[2. In the last month, how often have you felt unable to control important things in your academic or personal life?]]="Almost never",1,IF(Form_Responses[[#This Row],[2. In the last month, how often have you felt unable to control important things in your academic or personal life?]]="Sometimes",2,IF(Form_Responses[[#This Row],[2. In the last month, how often have you felt unable to control important things in your academic or personal life?]]="Fairly often",3,4))))</f>
        <v>3</v>
      </c>
      <c r="AY60" s="3" t="s">
        <v>88</v>
      </c>
      <c r="AZ60" s="4">
        <f>IF(Form_Responses[[#This Row],[3. In the last month, how often have you felt nervous or stressed because of university responsibilities or personal challenges?]]="Never",0,IF(Form_Responses[[#This Row],[3. In the last month, how often have you felt nervous or stressed because of university responsibilities or personal challenges?]]="Almost never",1,IF(Form_Responses[[#This Row],[3. In the last month, how often have you felt nervous or stressed because of university responsibilities or personal challenges?]]="Sometimes",2,IF(Form_Responses[[#This Row],[3. In the last month, how often have you felt nervous or stressed because of university responsibilities or personal challenges?]]="Fairly often",3,4))))</f>
        <v>3</v>
      </c>
      <c r="BA60" s="3" t="s">
        <v>89</v>
      </c>
      <c r="BB60" s="4">
        <f>IF(Form_Responses[[#This Row],[4. In the last month, how often have you felt confident about your ability to handle academic or personal problems?]]="Never",4,IF(Form_Responses[[#This Row],[4. In the last month, how often have you felt confident about your ability to handle academic or personal problems?]]="Almost never",3,IF(Form_Responses[[#This Row],[4. In the last month, how often have you felt confident about your ability to handle academic or personal problems?]]="Sometimes",2,IF(Form_Responses[[#This Row],[4. In the last month, how often have you felt confident about your ability to handle academic or personal problems?]]="Fairly often",1,0))))</f>
        <v>2</v>
      </c>
      <c r="BC60" s="3" t="s">
        <v>89</v>
      </c>
      <c r="BD60" s="4">
        <f>IF(Form_Responses[[#This Row],[5. In the last month, how often have you felt that things were going well in your studies or personal life?]]="Never",4,IF(Form_Responses[[#This Row],[5. In the last month, how often have you felt that things were going well in your studies or personal life?]]="Almost never",3,IF(Form_Responses[[#This Row],[5. In the last month, how often have you felt that things were going well in your studies or personal life?]]="Sometimes",2,IF(Form_Responses[[#This Row],[5. In the last month, how often have you felt that things were going well in your studies or personal life?]]="Fairly often",1,0))))</f>
        <v>2</v>
      </c>
      <c r="BE60" s="3" t="s">
        <v>88</v>
      </c>
      <c r="BF60" s="4">
        <f>IF(Form_Responses[[#This Row],[6. In the last month, how often have you felt unable to cope with coursework, deadlines, or daily responsibilities?]]="Never",0,IF(Form_Responses[[#This Row],[6. In the last month, how often have you felt unable to cope with coursework, deadlines, or daily responsibilities?]]="Almost never",1,IF(Form_Responses[[#This Row],[6. In the last month, how often have you felt unable to cope with coursework, deadlines, or daily responsibilities?]]="Sometimes",2,IF(Form_Responses[[#This Row],[6. In the last month, how often have you felt unable to cope with coursework, deadlines, or daily responsibilities?]]="Fairly often",3,4))))</f>
        <v>3</v>
      </c>
      <c r="BG60" s="3" t="s">
        <v>89</v>
      </c>
      <c r="BH60" s="4">
        <f>IF(Form_Responses[[#This Row],[7. In the last month, how often have you been able to control irritations or frustrations in your life?]]="Never",4,IF(Form_Responses[[#This Row],[7. In the last month, how often have you been able to control irritations or frustrations in your life?]]="Almost never",3,IF(Form_Responses[[#This Row],[7. In the last month, how often have you been able to control irritations or frustrations in your life?]]="Sometimes",2,IF(Form_Responses[[#This Row],[7. In the last month, how often have you been able to control irritations or frustrations in your life?]]="Fairly often",1,0))))</f>
        <v>2</v>
      </c>
      <c r="BI60" s="3" t="s">
        <v>89</v>
      </c>
      <c r="BJ60" s="4">
        <f>IF(Form_Responses[[#This Row],[8. In the last month, how often have you felt that you were managing your academic and personal responsibilities well?]]="Never",4,IF(Form_Responses[[#This Row],[8. In the last month, how often have you felt that you were managing your academic and personal responsibilities well?]]="Almost never",3,IF(Form_Responses[[#This Row],[8. In the last month, how often have you felt that you were managing your academic and personal responsibilities well?]]="Sometimes",2,IF(Form_Responses[[#This Row],[8. In the last month, how often have you felt that you were managing your academic and personal responsibilities well?]]="Fairly often",1,0))))</f>
        <v>2</v>
      </c>
      <c r="BK60" s="3" t="s">
        <v>105</v>
      </c>
      <c r="BL60" s="5">
        <f>IF(Form_Responses[[#This Row],[9. In the last month, how often have you been angered or frustrated by situations outside your control, such as finances, academics, or relationships?]]="Never",0,IF(Form_Responses[[#This Row],[9. In the last month, how often have you been angered or frustrated by situations outside your control, such as finances, academics, or relationships?]]="Almost never",1,IF(Form_Responses[[#This Row],[9. In the last month, how often have you been angered or frustrated by situations outside your control, such as finances, academics, or relationships?]]="Sometimes",2,IF(Form_Responses[[#This Row],[9. In the last month, how often have you been angered or frustrated by situations outside your control, such as finances, academics, or relationships?]]="Fairly often",3,4))))</f>
        <v>4</v>
      </c>
      <c r="BM60" s="3" t="s">
        <v>88</v>
      </c>
      <c r="BN60" s="4">
        <f>IF(Form_Responses[[#This Row],[10. In the last month, how often have you felt that difficulties were piling up so much that you could not overcome them?]]="Never",0,IF(Form_Responses[[#This Row],[10. In the last month, how often have you felt that difficulties were piling up so much that you could not overcome them?]]="Almost never",1,IF(Form_Responses[[#This Row],[10. In the last month, how often have you felt that difficulties were piling up so much that you could not overcome them?]]="Sometimes",2,IF(Form_Responses[[#This Row],[10. In the last month, how often have you felt that difficulties were piling up so much that you could not overcome them?]]="Fairly often",3,4))))</f>
        <v>3</v>
      </c>
      <c r="BO60" s="4">
        <f>SUM(Form_Responses[[#This Row],[Score17]],Form_Responses[[#This Row],[Score18]],Form_Responses[[#This Row],[Score19]],Form_Responses[[#This Row],[Score20]],Form_Responses[[#This Row],[Score21]],Form_Responses[[#This Row],[Score22]],Form_Responses[[#This Row],[Score23]],Form_Responses[[#This Row],[Score24]],Form_Responses[[#This Row],[Score25]],Form_Responses[[#This Row],[Score26]])</f>
        <v>27</v>
      </c>
      <c r="BP60" s="4" t="str">
        <f>IF(Form_Responses[[#This Row],[Anxiety Score2]]&lt;=13,"Low stress",IF(Form_Responses[[#This Row],[Anxiety Score2]]&lt;=26,"Moderate stress","High stress"))</f>
        <v xml:space="preserve">High stress</v>
      </c>
      <c r="BQ60" s="3" t="s">
        <v>91</v>
      </c>
      <c r="BR60" s="3" t="s">
        <v>106</v>
      </c>
      <c r="BS60" s="3" t="s">
        <v>302</v>
      </c>
      <c r="BT60" s="3" t="s">
        <v>162</v>
      </c>
      <c r="BU60" s="3" t="s">
        <v>106</v>
      </c>
      <c r="BV60" s="3" t="s">
        <v>378</v>
      </c>
      <c r="BW60" s="3" t="s">
        <v>293</v>
      </c>
      <c r="BX60" s="3" t="s">
        <v>379</v>
      </c>
    </row>
    <row r="61" ht="22.5" customHeight="1">
      <c r="A61" s="2">
        <v>46202.867141423616</v>
      </c>
      <c r="B61" s="3" t="s">
        <v>76</v>
      </c>
      <c r="C61" s="3" t="s">
        <v>154</v>
      </c>
      <c r="D61" s="3" t="s">
        <v>78</v>
      </c>
      <c r="E61" s="3" t="s">
        <v>79</v>
      </c>
      <c r="F61" s="3" t="s">
        <v>241</v>
      </c>
      <c r="G61" s="3" t="s">
        <v>81</v>
      </c>
      <c r="H61" s="3" t="s">
        <v>82</v>
      </c>
      <c r="I61" s="3" t="s">
        <v>114</v>
      </c>
      <c r="J61" s="3" t="s">
        <v>84</v>
      </c>
      <c r="K61" s="3" t="s">
        <v>85</v>
      </c>
      <c r="L61" s="4">
        <f>IF(K61="Not at all",0,IF(K61="Several days",1,IF(K61="More than half the days",2,3)))</f>
        <v>0</v>
      </c>
      <c r="M61" s="3" t="s">
        <v>85</v>
      </c>
      <c r="N61" s="4">
        <f>IF(M61="Not at all",0,IF(M61="Several days",1,IF(M61="More than half the days",2,3)))</f>
        <v>0</v>
      </c>
      <c r="O61" s="3" t="s">
        <v>86</v>
      </c>
      <c r="P61" s="5">
        <f>IF(O61="Not at all",0,IF(O61="Several days",1,IF(O61="More than half the days",2,3)))</f>
        <v>1</v>
      </c>
      <c r="Q61" s="3" t="s">
        <v>86</v>
      </c>
      <c r="R61" s="4">
        <f>IF(Q61="Not at all",0,IF(Q61="Several days",1,IF(Q61="More than half the days",2,3)))</f>
        <v>1</v>
      </c>
      <c r="S61" s="3" t="s">
        <v>86</v>
      </c>
      <c r="T61" s="4">
        <f>IF(S61="Not at all",0,IF(S61="Several days",1,IF(S61="More than half the days",2,3)))</f>
        <v>1</v>
      </c>
      <c r="U61" s="3" t="s">
        <v>85</v>
      </c>
      <c r="V61" s="4">
        <f>IF(U61="Not at all",0,IF(U61="Several days",1,IF(U61="More than half the days",2,3)))</f>
        <v>0</v>
      </c>
      <c r="W61" s="3" t="s">
        <v>85</v>
      </c>
      <c r="X61" s="4">
        <f>IF(W61="Not at all",0,IF(W61="Several days",1,IF(W61="More than half the days",2,3)))</f>
        <v>0</v>
      </c>
      <c r="Y61" s="3" t="s">
        <v>86</v>
      </c>
      <c r="Z61" s="4">
        <f>IF(Y61="Not at all",0,IF(Y61="Several days",1,IF(Y61="More than half the days",2,3)))</f>
        <v>1</v>
      </c>
      <c r="AA61" s="3" t="s">
        <v>85</v>
      </c>
      <c r="AB61" s="4">
        <f>IF(AA61="Not at all",0,IF(AA61="Several days",1,IF(AA61="More than half the days",2,3)))</f>
        <v>0</v>
      </c>
      <c r="AC61" s="4">
        <f>SUM(Form_Responses[[#This Row],[Score]],Form_Responses[[#This Row],[Score2]],Form_Responses[[#This Row],[Score3]],Form_Responses[[#This Row],[Score4]],Form_Responses[[#This Row],[Score5]],Form_Responses[[#This Row],[Score6]],Form_Responses[[#This Row],[Score7]],Form_Responses[[#This Row],[Score8]],Form_Responses[[#This Row],[Score9]])</f>
        <v>4</v>
      </c>
      <c r="AD61" s="4" t="str">
        <f>IF(Form_Responses[[#This Row],[Depression Score ]]&lt;=4,"Minimal symptoms",IF(Form_Responses[[#This Row],[Depression Score ]]&lt;=9,"Mild Depression",IF(Form_Responses[[#This Row],[Depression Score ]]&lt;=14,"Moderate depression",IF(Form_Responses[[#This Row],[Depression Score ]]&lt;=19,"Moderately severe depression","Severe depression"))))</f>
        <v xml:space="preserve">Minimal symptoms</v>
      </c>
      <c r="AE61" s="3" t="s">
        <v>86</v>
      </c>
      <c r="AF61" s="4">
        <f>IF(AE61="Not at all",0,IF(AE61="Several days",1,IF(AE61="More than half the days",2,3)))</f>
        <v>1</v>
      </c>
      <c r="AG61" s="3" t="s">
        <v>86</v>
      </c>
      <c r="AH61" s="4">
        <f>IF(AG61="Not at all",0,IF(AG61="Several days",1,IF(AG61="More than half the days",2,3)))</f>
        <v>1</v>
      </c>
      <c r="AI61" s="3" t="s">
        <v>86</v>
      </c>
      <c r="AJ61" s="4">
        <f>IF(AI61="Not at all",0,IF(AI61="Several days",1,IF(AI61="More than half the days",2,3)))</f>
        <v>1</v>
      </c>
      <c r="AK61" s="3" t="s">
        <v>86</v>
      </c>
      <c r="AL61" s="4">
        <f>IF(AK61="Not at all",0,IF(AK61="Several days",1,IF(AK61="More than half the days",2,3)))</f>
        <v>1</v>
      </c>
      <c r="AM61" s="3" t="s">
        <v>86</v>
      </c>
      <c r="AN61" s="4">
        <f>IF(AM61="Not at all",0,IF(AM61="Several days",1,IF(AM61="More than half the days",2,3)))</f>
        <v>1</v>
      </c>
      <c r="AO61" s="3" t="s">
        <v>86</v>
      </c>
      <c r="AP61" s="4">
        <f>IF(AO61="Not at all",0,IF(AO61="Several days",1,IF(AO61="More than half the days",2,3)))</f>
        <v>1</v>
      </c>
      <c r="AQ61" s="3" t="s">
        <v>86</v>
      </c>
      <c r="AR61" s="4">
        <f>IF(AQ61="Not at all",0,IF(AQ61="Several days",1,IF(AQ61="More than half the days",2,3)))</f>
        <v>1</v>
      </c>
      <c r="AS61" s="4">
        <f>SUM(Form_Responses[[#This Row],[Score16]],Form_Responses[[#This Row],[Score10]],Form_Responses[[#This Row],[Score11]],Form_Responses[[#This Row],[Score12]],Form_Responses[[#This Row],[Score13]],Form_Responses[[#This Row],[Score14]],Form_Responses[[#This Row],[Score15]])</f>
        <v>7</v>
      </c>
      <c r="AT61" s="4" t="str">
        <f>IF(Form_Responses[[#This Row],[Anxiety Score]]&lt;=4,"Minimal anxiety",IF(Form_Responses[[#This Row],[Anxiety Score]]&lt;=9,"Mild anxiety",IF(Form_Responses[[#This Row],[Anxiety Score]]&lt;=14,"Moderate anxiety","Severe anxiety")))</f>
        <v xml:space="preserve">Mild anxiety</v>
      </c>
      <c r="AU61" s="3" t="s">
        <v>88</v>
      </c>
      <c r="AV61" s="4">
        <f>IF(Form_Responses[[#This Row],[1. In the last month, how often have you been upset because of unexpected situations related to academics, finances, or personal life?]]="Never",0,IF(Form_Responses[[#This Row],[1. In the last month, how often have you been upset because of unexpected situations related to academics, finances, or personal life?]]="Almost never",1,IF(Form_Responses[[#This Row],[1. In the last month, how often have you been upset because of unexpected situations related to academics, finances, or personal life?]]="Sometimes",2,IF(Form_Responses[[#This Row],[1. In the last month, how often have you been upset because of unexpected situations related to academics, finances, or personal life?]]="Fairly often",3,4))))</f>
        <v>3</v>
      </c>
      <c r="AW61" s="3" t="s">
        <v>89</v>
      </c>
      <c r="AX61" s="5">
        <f>IF(Form_Responses[[#This Row],[2. In the last month, how often have you felt unable to control important things in your academic or personal life?]]="Never",0,IF(Form_Responses[[#This Row],[2. In the last month, how often have you felt unable to control important things in your academic or personal life?]]="Almost never",1,IF(Form_Responses[[#This Row],[2. In the last month, how often have you felt unable to control important things in your academic or personal life?]]="Sometimes",2,IF(Form_Responses[[#This Row],[2. In the last month, how often have you felt unable to control important things in your academic or personal life?]]="Fairly often",3,4))))</f>
        <v>2</v>
      </c>
      <c r="AY61" s="3" t="s">
        <v>89</v>
      </c>
      <c r="AZ61" s="4">
        <f>IF(Form_Responses[[#This Row],[3. In the last month, how often have you felt nervous or stressed because of university responsibilities or personal challenges?]]="Never",0,IF(Form_Responses[[#This Row],[3. In the last month, how often have you felt nervous or stressed because of university responsibilities or personal challenges?]]="Almost never",1,IF(Form_Responses[[#This Row],[3. In the last month, how often have you felt nervous or stressed because of university responsibilities or personal challenges?]]="Sometimes",2,IF(Form_Responses[[#This Row],[3. In the last month, how often have you felt nervous or stressed because of university responsibilities or personal challenges?]]="Fairly often",3,4))))</f>
        <v>2</v>
      </c>
      <c r="BA61" s="3" t="s">
        <v>89</v>
      </c>
      <c r="BB61" s="4">
        <f>IF(Form_Responses[[#This Row],[4. In the last month, how often have you felt confident about your ability to handle academic or personal problems?]]="Never",4,IF(Form_Responses[[#This Row],[4. In the last month, how often have you felt confident about your ability to handle academic or personal problems?]]="Almost never",3,IF(Form_Responses[[#This Row],[4. In the last month, how often have you felt confident about your ability to handle academic or personal problems?]]="Sometimes",2,IF(Form_Responses[[#This Row],[4. In the last month, how often have you felt confident about your ability to handle academic or personal problems?]]="Fairly often",1,0))))</f>
        <v>2</v>
      </c>
      <c r="BC61" s="3" t="s">
        <v>89</v>
      </c>
      <c r="BD61" s="4">
        <f>IF(Form_Responses[[#This Row],[5. In the last month, how often have you felt that things were going well in your studies or personal life?]]="Never",4,IF(Form_Responses[[#This Row],[5. In the last month, how often have you felt that things were going well in your studies or personal life?]]="Almost never",3,IF(Form_Responses[[#This Row],[5. In the last month, how often have you felt that things were going well in your studies or personal life?]]="Sometimes",2,IF(Form_Responses[[#This Row],[5. In the last month, how often have you felt that things were going well in your studies or personal life?]]="Fairly often",1,0))))</f>
        <v>2</v>
      </c>
      <c r="BE61" s="3" t="s">
        <v>88</v>
      </c>
      <c r="BF61" s="4">
        <f>IF(Form_Responses[[#This Row],[6. In the last month, how often have you felt unable to cope with coursework, deadlines, or daily responsibilities?]]="Never",0,IF(Form_Responses[[#This Row],[6. In the last month, how often have you felt unable to cope with coursework, deadlines, or daily responsibilities?]]="Almost never",1,IF(Form_Responses[[#This Row],[6. In the last month, how often have you felt unable to cope with coursework, deadlines, or daily responsibilities?]]="Sometimes",2,IF(Form_Responses[[#This Row],[6. In the last month, how often have you felt unable to cope with coursework, deadlines, or daily responsibilities?]]="Fairly often",3,4))))</f>
        <v>3</v>
      </c>
      <c r="BG61" s="3" t="s">
        <v>88</v>
      </c>
      <c r="BH61" s="4">
        <f>IF(Form_Responses[[#This Row],[7. In the last month, how often have you been able to control irritations or frustrations in your life?]]="Never",4,IF(Form_Responses[[#This Row],[7. In the last month, how often have you been able to control irritations or frustrations in your life?]]="Almost never",3,IF(Form_Responses[[#This Row],[7. In the last month, how often have you been able to control irritations or frustrations in your life?]]="Sometimes",2,IF(Form_Responses[[#This Row],[7. In the last month, how often have you been able to control irritations or frustrations in your life?]]="Fairly often",1,0))))</f>
        <v>1</v>
      </c>
      <c r="BI61" s="3" t="s">
        <v>88</v>
      </c>
      <c r="BJ61" s="4">
        <f>IF(Form_Responses[[#This Row],[8. In the last month, how often have you felt that you were managing your academic and personal responsibilities well?]]="Never",4,IF(Form_Responses[[#This Row],[8. In the last month, how often have you felt that you were managing your academic and personal responsibilities well?]]="Almost never",3,IF(Form_Responses[[#This Row],[8. In the last month, how often have you felt that you were managing your academic and personal responsibilities well?]]="Sometimes",2,IF(Form_Responses[[#This Row],[8. In the last month, how often have you felt that you were managing your academic and personal responsibilities well?]]="Fairly often",1,0))))</f>
        <v>1</v>
      </c>
      <c r="BK61" s="3" t="s">
        <v>89</v>
      </c>
      <c r="BL61" s="5">
        <f>IF(Form_Responses[[#This Row],[9. In the last month, how often have you been angered or frustrated by situations outside your control, such as finances, academics, or relationships?]]="Never",0,IF(Form_Responses[[#This Row],[9. In the last month, how often have you been angered or frustrated by situations outside your control, such as finances, academics, or relationships?]]="Almost never",1,IF(Form_Responses[[#This Row],[9. In the last month, how often have you been angered or frustrated by situations outside your control, such as finances, academics, or relationships?]]="Sometimes",2,IF(Form_Responses[[#This Row],[9. In the last month, how often have you been angered or frustrated by situations outside your control, such as finances, academics, or relationships?]]="Fairly often",3,4))))</f>
        <v>2</v>
      </c>
      <c r="BM61" s="3" t="s">
        <v>89</v>
      </c>
      <c r="BN61" s="4">
        <f>IF(Form_Responses[[#This Row],[10. In the last month, how often have you felt that difficulties were piling up so much that you could not overcome them?]]="Never",0,IF(Form_Responses[[#This Row],[10. In the last month, how often have you felt that difficulties were piling up so much that you could not overcome them?]]="Almost never",1,IF(Form_Responses[[#This Row],[10. In the last month, how often have you felt that difficulties were piling up so much that you could not overcome them?]]="Sometimes",2,IF(Form_Responses[[#This Row],[10. In the last month, how often have you felt that difficulties were piling up so much that you could not overcome them?]]="Fairly often",3,4))))</f>
        <v>2</v>
      </c>
      <c r="BO61" s="4">
        <f>SUM(Form_Responses[[#This Row],[Score17]],Form_Responses[[#This Row],[Score18]],Form_Responses[[#This Row],[Score19]],Form_Responses[[#This Row],[Score20]],Form_Responses[[#This Row],[Score21]],Form_Responses[[#This Row],[Score22]],Form_Responses[[#This Row],[Score23]],Form_Responses[[#This Row],[Score24]],Form_Responses[[#This Row],[Score25]],Form_Responses[[#This Row],[Score26]])</f>
        <v>20</v>
      </c>
      <c r="BP61" s="4" t="str">
        <f>IF(Form_Responses[[#This Row],[Anxiety Score2]]&lt;=13,"Low stress",IF(Form_Responses[[#This Row],[Anxiety Score2]]&lt;=26,"Moderate stress","High stress"))</f>
        <v xml:space="preserve">Moderate stress</v>
      </c>
      <c r="BQ61" s="3" t="s">
        <v>91</v>
      </c>
      <c r="BR61" s="3" t="s">
        <v>76</v>
      </c>
      <c r="BS61" s="3" t="s">
        <v>380</v>
      </c>
      <c r="BT61" s="3" t="s">
        <v>93</v>
      </c>
      <c r="BU61" s="3" t="s">
        <v>76</v>
      </c>
      <c r="BV61" s="3" t="s">
        <v>381</v>
      </c>
      <c r="BW61" s="3" t="s">
        <v>382</v>
      </c>
      <c r="BX61" s="3" t="s">
        <v>383</v>
      </c>
    </row>
    <row r="62" ht="22.5" customHeight="1">
      <c r="A62" s="2">
        <v>46202.875222789356</v>
      </c>
      <c r="B62" s="3" t="s">
        <v>76</v>
      </c>
      <c r="C62" s="3" t="s">
        <v>77</v>
      </c>
      <c r="D62" s="3" t="s">
        <v>112</v>
      </c>
      <c r="E62" s="3" t="s">
        <v>197</v>
      </c>
      <c r="F62" s="3" t="s">
        <v>251</v>
      </c>
      <c r="G62" s="3" t="s">
        <v>81</v>
      </c>
      <c r="H62" s="3" t="s">
        <v>82</v>
      </c>
      <c r="I62" s="3" t="s">
        <v>83</v>
      </c>
      <c r="J62" s="3" t="s">
        <v>84</v>
      </c>
      <c r="K62" s="3" t="s">
        <v>142</v>
      </c>
      <c r="L62" s="4">
        <f>IF(K62="Not at all",0,IF(K62="Several days",1,IF(K62="More than half the days",2,3)))</f>
        <v>3</v>
      </c>
      <c r="M62" s="3" t="s">
        <v>86</v>
      </c>
      <c r="N62" s="4">
        <f>IF(M62="Not at all",0,IF(M62="Several days",1,IF(M62="More than half the days",2,3)))</f>
        <v>1</v>
      </c>
      <c r="O62" s="3" t="s">
        <v>86</v>
      </c>
      <c r="P62" s="5">
        <f>IF(O62="Not at all",0,IF(O62="Several days",1,IF(O62="More than half the days",2,3)))</f>
        <v>1</v>
      </c>
      <c r="Q62" s="3" t="s">
        <v>85</v>
      </c>
      <c r="R62" s="4">
        <f>IF(Q62="Not at all",0,IF(Q62="Several days",1,IF(Q62="More than half the days",2,3)))</f>
        <v>0</v>
      </c>
      <c r="S62" s="3" t="s">
        <v>85</v>
      </c>
      <c r="T62" s="4">
        <f>IF(S62="Not at all",0,IF(S62="Several days",1,IF(S62="More than half the days",2,3)))</f>
        <v>0</v>
      </c>
      <c r="U62" s="3" t="s">
        <v>104</v>
      </c>
      <c r="V62" s="4">
        <f>IF(U62="Not at all",0,IF(U62="Several days",1,IF(U62="More than half the days",2,3)))</f>
        <v>3</v>
      </c>
      <c r="W62" s="3" t="s">
        <v>87</v>
      </c>
      <c r="X62" s="4">
        <f>IF(W62="Not at all",0,IF(W62="Several days",1,IF(W62="More than half the days",2,3)))</f>
        <v>2</v>
      </c>
      <c r="Y62" s="3" t="s">
        <v>104</v>
      </c>
      <c r="Z62" s="4">
        <f>IF(Y62="Not at all",0,IF(Y62="Several days",1,IF(Y62="More than half the days",2,3)))</f>
        <v>3</v>
      </c>
      <c r="AA62" s="3" t="s">
        <v>85</v>
      </c>
      <c r="AB62" s="4">
        <f>IF(AA62="Not at all",0,IF(AA62="Several days",1,IF(AA62="More than half the days",2,3)))</f>
        <v>0</v>
      </c>
      <c r="AC62" s="4">
        <f>SUM(Form_Responses[[#This Row],[Score]],Form_Responses[[#This Row],[Score2]],Form_Responses[[#This Row],[Score3]],Form_Responses[[#This Row],[Score4]],Form_Responses[[#This Row],[Score5]],Form_Responses[[#This Row],[Score6]],Form_Responses[[#This Row],[Score7]],Form_Responses[[#This Row],[Score8]],Form_Responses[[#This Row],[Score9]])</f>
        <v>13</v>
      </c>
      <c r="AD62" s="4" t="str">
        <f>IF(Form_Responses[[#This Row],[Depression Score ]]&lt;=4,"Minimal symptoms",IF(Form_Responses[[#This Row],[Depression Score ]]&lt;=9,"Mild Depression",IF(Form_Responses[[#This Row],[Depression Score ]]&lt;=14,"Moderate depression",IF(Form_Responses[[#This Row],[Depression Score ]]&lt;=19,"Moderately severe depression","Severe depression"))))</f>
        <v xml:space="preserve">Moderate depression</v>
      </c>
      <c r="AE62" s="3" t="s">
        <v>115</v>
      </c>
      <c r="AF62" s="4">
        <f>IF(AE62="Not at all",0,IF(AE62="Several days",1,IF(AE62="More than half the days",2,3)))</f>
        <v>3</v>
      </c>
      <c r="AG62" s="3" t="s">
        <v>86</v>
      </c>
      <c r="AH62" s="4">
        <f>IF(AG62="Not at all",0,IF(AG62="Several days",1,IF(AG62="More than half the days",2,3)))</f>
        <v>1</v>
      </c>
      <c r="AI62" s="3" t="s">
        <v>86</v>
      </c>
      <c r="AJ62" s="4">
        <f>IF(AI62="Not at all",0,IF(AI62="Several days",1,IF(AI62="More than half the days",2,3)))</f>
        <v>1</v>
      </c>
      <c r="AK62" s="3" t="s">
        <v>86</v>
      </c>
      <c r="AL62" s="4">
        <f>IF(AK62="Not at all",0,IF(AK62="Several days",1,IF(AK62="More than half the days",2,3)))</f>
        <v>1</v>
      </c>
      <c r="AM62" s="3" t="s">
        <v>87</v>
      </c>
      <c r="AN62" s="4">
        <f>IF(AM62="Not at all",0,IF(AM62="Several days",1,IF(AM62="More than half the days",2,3)))</f>
        <v>2</v>
      </c>
      <c r="AO62" s="3" t="s">
        <v>85</v>
      </c>
      <c r="AP62" s="4">
        <f>IF(AO62="Not at all",0,IF(AO62="Several days",1,IF(AO62="More than half the days",2,3)))</f>
        <v>0</v>
      </c>
      <c r="AQ62" s="3" t="s">
        <v>85</v>
      </c>
      <c r="AR62" s="4">
        <f>IF(AQ62="Not at all",0,IF(AQ62="Several days",1,IF(AQ62="More than half the days",2,3)))</f>
        <v>0</v>
      </c>
      <c r="AS62" s="4">
        <f>SUM(Form_Responses[[#This Row],[Score16]],Form_Responses[[#This Row],[Score10]],Form_Responses[[#This Row],[Score11]],Form_Responses[[#This Row],[Score12]],Form_Responses[[#This Row],[Score13]],Form_Responses[[#This Row],[Score14]],Form_Responses[[#This Row],[Score15]])</f>
        <v>8</v>
      </c>
      <c r="AT62" s="4" t="str">
        <f>IF(Form_Responses[[#This Row],[Anxiety Score]]&lt;=4,"Minimal anxiety",IF(Form_Responses[[#This Row],[Anxiety Score]]&lt;=9,"Mild anxiety",IF(Form_Responses[[#This Row],[Anxiety Score]]&lt;=14,"Moderate anxiety","Severe anxiety")))</f>
        <v xml:space="preserve">Mild anxiety</v>
      </c>
      <c r="AU62" s="3" t="s">
        <v>89</v>
      </c>
      <c r="AV62" s="4">
        <f>IF(Form_Responses[[#This Row],[1. In the last month, how often have you been upset because of unexpected situations related to academics, finances, or personal life?]]="Never",0,IF(Form_Responses[[#This Row],[1. In the last month, how often have you been upset because of unexpected situations related to academics, finances, or personal life?]]="Almost never",1,IF(Form_Responses[[#This Row],[1. In the last month, how often have you been upset because of unexpected situations related to academics, finances, or personal life?]]="Sometimes",2,IF(Form_Responses[[#This Row],[1. In the last month, how often have you been upset because of unexpected situations related to academics, finances, or personal life?]]="Fairly often",3,4))))</f>
        <v>2</v>
      </c>
      <c r="AW62" s="3" t="s">
        <v>89</v>
      </c>
      <c r="AX62" s="5">
        <f>IF(Form_Responses[[#This Row],[2. In the last month, how often have you felt unable to control important things in your academic or personal life?]]="Never",0,IF(Form_Responses[[#This Row],[2. In the last month, how often have you felt unable to control important things in your academic or personal life?]]="Almost never",1,IF(Form_Responses[[#This Row],[2. In the last month, how often have you felt unable to control important things in your academic or personal life?]]="Sometimes",2,IF(Form_Responses[[#This Row],[2. In the last month, how often have you felt unable to control important things in your academic or personal life?]]="Fairly often",3,4))))</f>
        <v>2</v>
      </c>
      <c r="AY62" s="3" t="s">
        <v>124</v>
      </c>
      <c r="AZ62" s="4">
        <f>IF(Form_Responses[[#This Row],[3. In the last month, how often have you felt nervous or stressed because of university responsibilities or personal challenges?]]="Never",0,IF(Form_Responses[[#This Row],[3. In the last month, how often have you felt nervous or stressed because of university responsibilities or personal challenges?]]="Almost never",1,IF(Form_Responses[[#This Row],[3. In the last month, how often have you felt nervous or stressed because of university responsibilities or personal challenges?]]="Sometimes",2,IF(Form_Responses[[#This Row],[3. In the last month, how often have you felt nervous or stressed because of university responsibilities or personal challenges?]]="Fairly often",3,4))))</f>
        <v>0</v>
      </c>
      <c r="BA62" s="3" t="s">
        <v>88</v>
      </c>
      <c r="BB62" s="4">
        <f>IF(Form_Responses[[#This Row],[4. In the last month, how often have you felt confident about your ability to handle academic or personal problems?]]="Never",4,IF(Form_Responses[[#This Row],[4. In the last month, how often have you felt confident about your ability to handle academic or personal problems?]]="Almost never",3,IF(Form_Responses[[#This Row],[4. In the last month, how often have you felt confident about your ability to handle academic or personal problems?]]="Sometimes",2,IF(Form_Responses[[#This Row],[4. In the last month, how often have you felt confident about your ability to handle academic or personal problems?]]="Fairly often",1,0))))</f>
        <v>1</v>
      </c>
      <c r="BC62" s="3" t="s">
        <v>88</v>
      </c>
      <c r="BD62" s="4">
        <f>IF(Form_Responses[[#This Row],[5. In the last month, how often have you felt that things were going well in your studies or personal life?]]="Never",4,IF(Form_Responses[[#This Row],[5. In the last month, how often have you felt that things were going well in your studies or personal life?]]="Almost never",3,IF(Form_Responses[[#This Row],[5. In the last month, how often have you felt that things were going well in your studies or personal life?]]="Sometimes",2,IF(Form_Responses[[#This Row],[5. In the last month, how often have you felt that things were going well in your studies or personal life?]]="Fairly often",1,0))))</f>
        <v>1</v>
      </c>
      <c r="BE62" s="3" t="s">
        <v>89</v>
      </c>
      <c r="BF62" s="4">
        <f>IF(Form_Responses[[#This Row],[6. In the last month, how often have you felt unable to cope with coursework, deadlines, or daily responsibilities?]]="Never",0,IF(Form_Responses[[#This Row],[6. In the last month, how often have you felt unable to cope with coursework, deadlines, or daily responsibilities?]]="Almost never",1,IF(Form_Responses[[#This Row],[6. In the last month, how often have you felt unable to cope with coursework, deadlines, or daily responsibilities?]]="Sometimes",2,IF(Form_Responses[[#This Row],[6. In the last month, how often have you felt unable to cope with coursework, deadlines, or daily responsibilities?]]="Fairly often",3,4))))</f>
        <v>2</v>
      </c>
      <c r="BG62" s="3" t="s">
        <v>124</v>
      </c>
      <c r="BH62" s="4">
        <f>IF(Form_Responses[[#This Row],[7. In the last month, how often have you been able to control irritations or frustrations in your life?]]="Never",4,IF(Form_Responses[[#This Row],[7. In the last month, how often have you been able to control irritations or frustrations in your life?]]="Almost never",3,IF(Form_Responses[[#This Row],[7. In the last month, how often have you been able to control irritations or frustrations in your life?]]="Sometimes",2,IF(Form_Responses[[#This Row],[7. In the last month, how often have you been able to control irritations or frustrations in your life?]]="Fairly often",1,0))))</f>
        <v>4</v>
      </c>
      <c r="BI62" s="3" t="s">
        <v>89</v>
      </c>
      <c r="BJ62" s="4">
        <f>IF(Form_Responses[[#This Row],[8. In the last month, how often have you felt that you were managing your academic and personal responsibilities well?]]="Never",4,IF(Form_Responses[[#This Row],[8. In the last month, how often have you felt that you were managing your academic and personal responsibilities well?]]="Almost never",3,IF(Form_Responses[[#This Row],[8. In the last month, how often have you felt that you were managing your academic and personal responsibilities well?]]="Sometimes",2,IF(Form_Responses[[#This Row],[8. In the last month, how often have you felt that you were managing your academic and personal responsibilities well?]]="Fairly often",1,0))))</f>
        <v>2</v>
      </c>
      <c r="BK62" s="3" t="s">
        <v>88</v>
      </c>
      <c r="BL62" s="5">
        <f>IF(Form_Responses[[#This Row],[9. In the last month, how often have you been angered or frustrated by situations outside your control, such as finances, academics, or relationships?]]="Never",0,IF(Form_Responses[[#This Row],[9. In the last month, how often have you been angered or frustrated by situations outside your control, such as finances, academics, or relationships?]]="Almost never",1,IF(Form_Responses[[#This Row],[9. In the last month, how often have you been angered or frustrated by situations outside your control, such as finances, academics, or relationships?]]="Sometimes",2,IF(Form_Responses[[#This Row],[9. In the last month, how often have you been angered or frustrated by situations outside your control, such as finances, academics, or relationships?]]="Fairly often",3,4))))</f>
        <v>3</v>
      </c>
      <c r="BM62" s="3" t="s">
        <v>90</v>
      </c>
      <c r="BN62" s="4">
        <f>IF(Form_Responses[[#This Row],[10. In the last month, how often have you felt that difficulties were piling up so much that you could not overcome them?]]="Never",0,IF(Form_Responses[[#This Row],[10. In the last month, how often have you felt that difficulties were piling up so much that you could not overcome them?]]="Almost never",1,IF(Form_Responses[[#This Row],[10. In the last month, how often have you felt that difficulties were piling up so much that you could not overcome them?]]="Sometimes",2,IF(Form_Responses[[#This Row],[10. In the last month, how often have you felt that difficulties were piling up so much that you could not overcome them?]]="Fairly often",3,4))))</f>
        <v>1</v>
      </c>
      <c r="BO62" s="4">
        <f>SUM(Form_Responses[[#This Row],[Score17]],Form_Responses[[#This Row],[Score18]],Form_Responses[[#This Row],[Score19]],Form_Responses[[#This Row],[Score20]],Form_Responses[[#This Row],[Score21]],Form_Responses[[#This Row],[Score22]],Form_Responses[[#This Row],[Score23]],Form_Responses[[#This Row],[Score24]],Form_Responses[[#This Row],[Score25]],Form_Responses[[#This Row],[Score26]])</f>
        <v>18</v>
      </c>
      <c r="BP62" s="4" t="str">
        <f>IF(Form_Responses[[#This Row],[Anxiety Score2]]&lt;=13,"Low stress",IF(Form_Responses[[#This Row],[Anxiety Score2]]&lt;=26,"Moderate stress","High stress"))</f>
        <v xml:space="preserve">Moderate stress</v>
      </c>
      <c r="BQ62" s="3" t="s">
        <v>91</v>
      </c>
      <c r="BR62" s="3" t="s">
        <v>106</v>
      </c>
      <c r="BS62" s="3" t="s">
        <v>384</v>
      </c>
      <c r="BT62" s="3" t="s">
        <v>155</v>
      </c>
      <c r="BU62" s="3" t="s">
        <v>91</v>
      </c>
      <c r="BV62" s="3" t="s">
        <v>385</v>
      </c>
      <c r="BW62" s="3" t="s">
        <v>386</v>
      </c>
      <c r="BX62" s="3" t="s">
        <v>387</v>
      </c>
    </row>
    <row r="63" ht="22.5" customHeight="1">
      <c r="A63" s="2">
        <v>46202.876667685181</v>
      </c>
      <c r="B63" s="3" t="s">
        <v>76</v>
      </c>
      <c r="C63" s="3" t="s">
        <v>77</v>
      </c>
      <c r="D63" s="3" t="s">
        <v>78</v>
      </c>
      <c r="E63" s="3" t="s">
        <v>255</v>
      </c>
      <c r="F63" s="3" t="s">
        <v>170</v>
      </c>
      <c r="G63" s="3" t="s">
        <v>81</v>
      </c>
      <c r="H63" s="3" t="s">
        <v>101</v>
      </c>
      <c r="I63" s="3" t="s">
        <v>114</v>
      </c>
      <c r="J63" s="3" t="s">
        <v>160</v>
      </c>
      <c r="K63" s="3" t="s">
        <v>86</v>
      </c>
      <c r="L63" s="4">
        <f>IF(K63="Not at all",0,IF(K63="Several days",1,IF(K63="More than half the days",2,3)))</f>
        <v>1</v>
      </c>
      <c r="M63" s="3" t="s">
        <v>86</v>
      </c>
      <c r="N63" s="4">
        <f>IF(M63="Not at all",0,IF(M63="Several days",1,IF(M63="More than half the days",2,3)))</f>
        <v>1</v>
      </c>
      <c r="O63" s="3" t="s">
        <v>86</v>
      </c>
      <c r="P63" s="5">
        <f>IF(O63="Not at all",0,IF(O63="Several days",1,IF(O63="More than half the days",2,3)))</f>
        <v>1</v>
      </c>
      <c r="Q63" s="3" t="s">
        <v>86</v>
      </c>
      <c r="R63" s="4">
        <f>IF(Q63="Not at all",0,IF(Q63="Several days",1,IF(Q63="More than half the days",2,3)))</f>
        <v>1</v>
      </c>
      <c r="S63" s="3" t="s">
        <v>86</v>
      </c>
      <c r="T63" s="4">
        <f>IF(S63="Not at all",0,IF(S63="Several days",1,IF(S63="More than half the days",2,3)))</f>
        <v>1</v>
      </c>
      <c r="U63" s="3" t="s">
        <v>86</v>
      </c>
      <c r="V63" s="4">
        <f>IF(U63="Not at all",0,IF(U63="Several days",1,IF(U63="More than half the days",2,3)))</f>
        <v>1</v>
      </c>
      <c r="W63" s="3" t="s">
        <v>86</v>
      </c>
      <c r="X63" s="4">
        <f>IF(W63="Not at all",0,IF(W63="Several days",1,IF(W63="More than half the days",2,3)))</f>
        <v>1</v>
      </c>
      <c r="Y63" s="3" t="s">
        <v>86</v>
      </c>
      <c r="Z63" s="4">
        <f>IF(Y63="Not at all",0,IF(Y63="Several days",1,IF(Y63="More than half the days",2,3)))</f>
        <v>1</v>
      </c>
      <c r="AA63" s="3" t="s">
        <v>86</v>
      </c>
      <c r="AB63" s="4">
        <f>IF(AA63="Not at all",0,IF(AA63="Several days",1,IF(AA63="More than half the days",2,3)))</f>
        <v>1</v>
      </c>
      <c r="AC63" s="4">
        <f>SUM(Form_Responses[[#This Row],[Score]],Form_Responses[[#This Row],[Score2]],Form_Responses[[#This Row],[Score3]],Form_Responses[[#This Row],[Score4]],Form_Responses[[#This Row],[Score5]],Form_Responses[[#This Row],[Score6]],Form_Responses[[#This Row],[Score7]],Form_Responses[[#This Row],[Score8]],Form_Responses[[#This Row],[Score9]])</f>
        <v>9</v>
      </c>
      <c r="AD63" s="4" t="str">
        <f>IF(Form_Responses[[#This Row],[Depression Score ]]&lt;=4,"Minimal symptoms",IF(Form_Responses[[#This Row],[Depression Score ]]&lt;=9,"Mild Depression",IF(Form_Responses[[#This Row],[Depression Score ]]&lt;=14,"Moderate depression",IF(Form_Responses[[#This Row],[Depression Score ]]&lt;=19,"Moderately severe depression","Severe depression"))))</f>
        <v xml:space="preserve">Mild Depression</v>
      </c>
      <c r="AE63" s="3" t="s">
        <v>86</v>
      </c>
      <c r="AF63" s="4">
        <f>IF(AE63="Not at all",0,IF(AE63="Several days",1,IF(AE63="More than half the days",2,3)))</f>
        <v>1</v>
      </c>
      <c r="AG63" s="3" t="s">
        <v>86</v>
      </c>
      <c r="AH63" s="4">
        <f>IF(AG63="Not at all",0,IF(AG63="Several days",1,IF(AG63="More than half the days",2,3)))</f>
        <v>1</v>
      </c>
      <c r="AI63" s="3" t="s">
        <v>86</v>
      </c>
      <c r="AJ63" s="4">
        <f>IF(AI63="Not at all",0,IF(AI63="Several days",1,IF(AI63="More than half the days",2,3)))</f>
        <v>1</v>
      </c>
      <c r="AK63" s="3" t="s">
        <v>85</v>
      </c>
      <c r="AL63" s="4">
        <f>IF(AK63="Not at all",0,IF(AK63="Several days",1,IF(AK63="More than half the days",2,3)))</f>
        <v>0</v>
      </c>
      <c r="AM63" s="3" t="s">
        <v>86</v>
      </c>
      <c r="AN63" s="4">
        <f>IF(AM63="Not at all",0,IF(AM63="Several days",1,IF(AM63="More than half the days",2,3)))</f>
        <v>1</v>
      </c>
      <c r="AO63" s="3" t="s">
        <v>86</v>
      </c>
      <c r="AP63" s="4">
        <f>IF(AO63="Not at all",0,IF(AO63="Several days",1,IF(AO63="More than half the days",2,3)))</f>
        <v>1</v>
      </c>
      <c r="AQ63" s="3" t="s">
        <v>85</v>
      </c>
      <c r="AR63" s="4">
        <f>IF(AQ63="Not at all",0,IF(AQ63="Several days",1,IF(AQ63="More than half the days",2,3)))</f>
        <v>0</v>
      </c>
      <c r="AS63" s="4">
        <f>SUM(Form_Responses[[#This Row],[Score16]],Form_Responses[[#This Row],[Score10]],Form_Responses[[#This Row],[Score11]],Form_Responses[[#This Row],[Score12]],Form_Responses[[#This Row],[Score13]],Form_Responses[[#This Row],[Score14]],Form_Responses[[#This Row],[Score15]])</f>
        <v>5</v>
      </c>
      <c r="AT63" s="4" t="str">
        <f>IF(Form_Responses[[#This Row],[Anxiety Score]]&lt;=4,"Minimal anxiety",IF(Form_Responses[[#This Row],[Anxiety Score]]&lt;=9,"Mild anxiety",IF(Form_Responses[[#This Row],[Anxiety Score]]&lt;=14,"Moderate anxiety","Severe anxiety")))</f>
        <v xml:space="preserve">Mild anxiety</v>
      </c>
      <c r="AU63" s="3" t="s">
        <v>89</v>
      </c>
      <c r="AV63" s="4">
        <f>IF(Form_Responses[[#This Row],[1. In the last month, how often have you been upset because of unexpected situations related to academics, finances, or personal life?]]="Never",0,IF(Form_Responses[[#This Row],[1. In the last month, how often have you been upset because of unexpected situations related to academics, finances, or personal life?]]="Almost never",1,IF(Form_Responses[[#This Row],[1. In the last month, how often have you been upset because of unexpected situations related to academics, finances, or personal life?]]="Sometimes",2,IF(Form_Responses[[#This Row],[1. In the last month, how often have you been upset because of unexpected situations related to academics, finances, or personal life?]]="Fairly often",3,4))))</f>
        <v>2</v>
      </c>
      <c r="AW63" s="3" t="s">
        <v>89</v>
      </c>
      <c r="AX63" s="5">
        <f>IF(Form_Responses[[#This Row],[2. In the last month, how often have you felt unable to control important things in your academic or personal life?]]="Never",0,IF(Form_Responses[[#This Row],[2. In the last month, how often have you felt unable to control important things in your academic or personal life?]]="Almost never",1,IF(Form_Responses[[#This Row],[2. In the last month, how often have you felt unable to control important things in your academic or personal life?]]="Sometimes",2,IF(Form_Responses[[#This Row],[2. In the last month, how often have you felt unable to control important things in your academic or personal life?]]="Fairly often",3,4))))</f>
        <v>2</v>
      </c>
      <c r="AY63" s="3" t="s">
        <v>89</v>
      </c>
      <c r="AZ63" s="4">
        <f>IF(Form_Responses[[#This Row],[3. In the last month, how often have you felt nervous or stressed because of university responsibilities or personal challenges?]]="Never",0,IF(Form_Responses[[#This Row],[3. In the last month, how often have you felt nervous or stressed because of university responsibilities or personal challenges?]]="Almost never",1,IF(Form_Responses[[#This Row],[3. In the last month, how often have you felt nervous or stressed because of university responsibilities or personal challenges?]]="Sometimes",2,IF(Form_Responses[[#This Row],[3. In the last month, how often have you felt nervous or stressed because of university responsibilities or personal challenges?]]="Fairly often",3,4))))</f>
        <v>2</v>
      </c>
      <c r="BA63" s="3" t="s">
        <v>89</v>
      </c>
      <c r="BB63" s="4">
        <f>IF(Form_Responses[[#This Row],[4. In the last month, how often have you felt confident about your ability to handle academic or personal problems?]]="Never",4,IF(Form_Responses[[#This Row],[4. In the last month, how often have you felt confident about your ability to handle academic or personal problems?]]="Almost never",3,IF(Form_Responses[[#This Row],[4. In the last month, how often have you felt confident about your ability to handle academic or personal problems?]]="Sometimes",2,IF(Form_Responses[[#This Row],[4. In the last month, how often have you felt confident about your ability to handle academic or personal problems?]]="Fairly often",1,0))))</f>
        <v>2</v>
      </c>
      <c r="BC63" s="3" t="s">
        <v>89</v>
      </c>
      <c r="BD63" s="4">
        <f>IF(Form_Responses[[#This Row],[5. In the last month, how often have you felt that things were going well in your studies or personal life?]]="Never",4,IF(Form_Responses[[#This Row],[5. In the last month, how often have you felt that things were going well in your studies or personal life?]]="Almost never",3,IF(Form_Responses[[#This Row],[5. In the last month, how often have you felt that things were going well in your studies or personal life?]]="Sometimes",2,IF(Form_Responses[[#This Row],[5. In the last month, how often have you felt that things were going well in your studies or personal life?]]="Fairly often",1,0))))</f>
        <v>2</v>
      </c>
      <c r="BE63" s="3" t="s">
        <v>105</v>
      </c>
      <c r="BF63" s="4">
        <f>IF(Form_Responses[[#This Row],[6. In the last month, how often have you felt unable to cope with coursework, deadlines, or daily responsibilities?]]="Never",0,IF(Form_Responses[[#This Row],[6. In the last month, how often have you felt unable to cope with coursework, deadlines, or daily responsibilities?]]="Almost never",1,IF(Form_Responses[[#This Row],[6. In the last month, how often have you felt unable to cope with coursework, deadlines, or daily responsibilities?]]="Sometimes",2,IF(Form_Responses[[#This Row],[6. In the last month, how often have you felt unable to cope with coursework, deadlines, or daily responsibilities?]]="Fairly often",3,4))))</f>
        <v>4</v>
      </c>
      <c r="BG63" s="3" t="s">
        <v>105</v>
      </c>
      <c r="BH63" s="4">
        <f>IF(Form_Responses[[#This Row],[7. In the last month, how often have you been able to control irritations or frustrations in your life?]]="Never",4,IF(Form_Responses[[#This Row],[7. In the last month, how often have you been able to control irritations or frustrations in your life?]]="Almost never",3,IF(Form_Responses[[#This Row],[7. In the last month, how often have you been able to control irritations or frustrations in your life?]]="Sometimes",2,IF(Form_Responses[[#This Row],[7. In the last month, how often have you been able to control irritations or frustrations in your life?]]="Fairly often",1,0))))</f>
        <v>0</v>
      </c>
      <c r="BI63" s="3" t="s">
        <v>105</v>
      </c>
      <c r="BJ63" s="4">
        <f>IF(Form_Responses[[#This Row],[8. In the last month, how often have you felt that you were managing your academic and personal responsibilities well?]]="Never",4,IF(Form_Responses[[#This Row],[8. In the last month, how often have you felt that you were managing your academic and personal responsibilities well?]]="Almost never",3,IF(Form_Responses[[#This Row],[8. In the last month, how often have you felt that you were managing your academic and personal responsibilities well?]]="Sometimes",2,IF(Form_Responses[[#This Row],[8. In the last month, how often have you felt that you were managing your academic and personal responsibilities well?]]="Fairly often",1,0))))</f>
        <v>0</v>
      </c>
      <c r="BK63" s="3" t="s">
        <v>90</v>
      </c>
      <c r="BL63" s="5">
        <f>IF(Form_Responses[[#This Row],[9. In the last month, how often have you been angered or frustrated by situations outside your control, such as finances, academics, or relationships?]]="Never",0,IF(Form_Responses[[#This Row],[9. In the last month, how often have you been angered or frustrated by situations outside your control, such as finances, academics, or relationships?]]="Almost never",1,IF(Form_Responses[[#This Row],[9. In the last month, how often have you been angered or frustrated by situations outside your control, such as finances, academics, or relationships?]]="Sometimes",2,IF(Form_Responses[[#This Row],[9. In the last month, how often have you been angered or frustrated by situations outside your control, such as finances, academics, or relationships?]]="Fairly often",3,4))))</f>
        <v>1</v>
      </c>
      <c r="BM63" s="3" t="s">
        <v>90</v>
      </c>
      <c r="BN63" s="4">
        <f>IF(Form_Responses[[#This Row],[10. In the last month, how often have you felt that difficulties were piling up so much that you could not overcome them?]]="Never",0,IF(Form_Responses[[#This Row],[10. In the last month, how often have you felt that difficulties were piling up so much that you could not overcome them?]]="Almost never",1,IF(Form_Responses[[#This Row],[10. In the last month, how often have you felt that difficulties were piling up so much that you could not overcome them?]]="Sometimes",2,IF(Form_Responses[[#This Row],[10. In the last month, how often have you felt that difficulties were piling up so much that you could not overcome them?]]="Fairly often",3,4))))</f>
        <v>1</v>
      </c>
      <c r="BO63" s="4">
        <f>SUM(Form_Responses[[#This Row],[Score17]],Form_Responses[[#This Row],[Score18]],Form_Responses[[#This Row],[Score19]],Form_Responses[[#This Row],[Score20]],Form_Responses[[#This Row],[Score21]],Form_Responses[[#This Row],[Score22]],Form_Responses[[#This Row],[Score23]],Form_Responses[[#This Row],[Score24]],Form_Responses[[#This Row],[Score25]],Form_Responses[[#This Row],[Score26]])</f>
        <v>16</v>
      </c>
      <c r="BP63" s="4" t="str">
        <f>IF(Form_Responses[[#This Row],[Anxiety Score2]]&lt;=13,"Low stress",IF(Form_Responses[[#This Row],[Anxiety Score2]]&lt;=26,"Moderate stress","High stress"))</f>
        <v xml:space="preserve">Moderate stress</v>
      </c>
      <c r="BQ63" s="3" t="s">
        <v>91</v>
      </c>
      <c r="BR63" s="3" t="s">
        <v>76</v>
      </c>
      <c r="BS63" s="3" t="s">
        <v>174</v>
      </c>
      <c r="BT63" s="3" t="s">
        <v>388</v>
      </c>
      <c r="BU63" s="3" t="s">
        <v>76</v>
      </c>
      <c r="BV63" s="3" t="s">
        <v>354</v>
      </c>
      <c r="BW63" s="3" t="s">
        <v>389</v>
      </c>
      <c r="BX63" s="3" t="s">
        <v>390</v>
      </c>
    </row>
    <row r="64" ht="22.5" customHeight="1">
      <c r="A64" s="2">
        <v>46202.876920937502</v>
      </c>
      <c r="B64" s="3" t="s">
        <v>76</v>
      </c>
      <c r="C64" s="3" t="s">
        <v>154</v>
      </c>
      <c r="D64" s="3" t="s">
        <v>78</v>
      </c>
      <c r="E64" s="3" t="s">
        <v>98</v>
      </c>
      <c r="F64" s="3" t="s">
        <v>391</v>
      </c>
      <c r="G64" s="3" t="s">
        <v>81</v>
      </c>
      <c r="H64" s="3" t="s">
        <v>101</v>
      </c>
      <c r="I64" s="3" t="s">
        <v>83</v>
      </c>
      <c r="J64" s="3" t="s">
        <v>84</v>
      </c>
      <c r="K64" s="3" t="s">
        <v>86</v>
      </c>
      <c r="L64" s="4">
        <f>IF(K64="Not at all",0,IF(K64="Several days",1,IF(K64="More than half the days",2,3)))</f>
        <v>1</v>
      </c>
      <c r="M64" s="3" t="s">
        <v>86</v>
      </c>
      <c r="N64" s="4">
        <f>IF(M64="Not at all",0,IF(M64="Several days",1,IF(M64="More than half the days",2,3)))</f>
        <v>1</v>
      </c>
      <c r="O64" s="3" t="s">
        <v>86</v>
      </c>
      <c r="P64" s="5">
        <f>IF(O64="Not at all",0,IF(O64="Several days",1,IF(O64="More than half the days",2,3)))</f>
        <v>1</v>
      </c>
      <c r="Q64" s="3" t="s">
        <v>86</v>
      </c>
      <c r="R64" s="4">
        <f>IF(Q64="Not at all",0,IF(Q64="Several days",1,IF(Q64="More than half the days",2,3)))</f>
        <v>1</v>
      </c>
      <c r="S64" s="3" t="s">
        <v>86</v>
      </c>
      <c r="T64" s="4">
        <f>IF(S64="Not at all",0,IF(S64="Several days",1,IF(S64="More than half the days",2,3)))</f>
        <v>1</v>
      </c>
      <c r="U64" s="3" t="s">
        <v>86</v>
      </c>
      <c r="V64" s="4">
        <f>IF(U64="Not at all",0,IF(U64="Several days",1,IF(U64="More than half the days",2,3)))</f>
        <v>1</v>
      </c>
      <c r="W64" s="3" t="s">
        <v>86</v>
      </c>
      <c r="X64" s="4">
        <f>IF(W64="Not at all",0,IF(W64="Several days",1,IF(W64="More than half the days",2,3)))</f>
        <v>1</v>
      </c>
      <c r="Y64" s="3" t="s">
        <v>86</v>
      </c>
      <c r="Z64" s="4">
        <f>IF(Y64="Not at all",0,IF(Y64="Several days",1,IF(Y64="More than half the days",2,3)))</f>
        <v>1</v>
      </c>
      <c r="AA64" s="3" t="s">
        <v>86</v>
      </c>
      <c r="AB64" s="4">
        <f>IF(AA64="Not at all",0,IF(AA64="Several days",1,IF(AA64="More than half the days",2,3)))</f>
        <v>1</v>
      </c>
      <c r="AC64" s="4">
        <f>SUM(Form_Responses[[#This Row],[Score]],Form_Responses[[#This Row],[Score2]],Form_Responses[[#This Row],[Score3]],Form_Responses[[#This Row],[Score4]],Form_Responses[[#This Row],[Score5]],Form_Responses[[#This Row],[Score6]],Form_Responses[[#This Row],[Score7]],Form_Responses[[#This Row],[Score8]],Form_Responses[[#This Row],[Score9]])</f>
        <v>9</v>
      </c>
      <c r="AD64" s="4" t="str">
        <f>IF(Form_Responses[[#This Row],[Depression Score ]]&lt;=4,"Minimal symptoms",IF(Form_Responses[[#This Row],[Depression Score ]]&lt;=9,"Mild Depression",IF(Form_Responses[[#This Row],[Depression Score ]]&lt;=14,"Moderate depression",IF(Form_Responses[[#This Row],[Depression Score ]]&lt;=19,"Moderately severe depression","Severe depression"))))</f>
        <v xml:space="preserve">Mild Depression</v>
      </c>
      <c r="AE64" s="3" t="s">
        <v>86</v>
      </c>
      <c r="AF64" s="4">
        <f>IF(AE64="Not at all",0,IF(AE64="Several days",1,IF(AE64="More than half the days",2,3)))</f>
        <v>1</v>
      </c>
      <c r="AG64" s="3" t="s">
        <v>86</v>
      </c>
      <c r="AH64" s="4">
        <f>IF(AG64="Not at all",0,IF(AG64="Several days",1,IF(AG64="More than half the days",2,3)))</f>
        <v>1</v>
      </c>
      <c r="AI64" s="3" t="s">
        <v>86</v>
      </c>
      <c r="AJ64" s="4">
        <f>IF(AI64="Not at all",0,IF(AI64="Several days",1,IF(AI64="More than half the days",2,3)))</f>
        <v>1</v>
      </c>
      <c r="AK64" s="3" t="s">
        <v>86</v>
      </c>
      <c r="AL64" s="4">
        <f>IF(AK64="Not at all",0,IF(AK64="Several days",1,IF(AK64="More than half the days",2,3)))</f>
        <v>1</v>
      </c>
      <c r="AM64" s="3" t="s">
        <v>86</v>
      </c>
      <c r="AN64" s="4">
        <f>IF(AM64="Not at all",0,IF(AM64="Several days",1,IF(AM64="More than half the days",2,3)))</f>
        <v>1</v>
      </c>
      <c r="AO64" s="3" t="s">
        <v>86</v>
      </c>
      <c r="AP64" s="4">
        <f>IF(AO64="Not at all",0,IF(AO64="Several days",1,IF(AO64="More than half the days",2,3)))</f>
        <v>1</v>
      </c>
      <c r="AQ64" s="3" t="s">
        <v>86</v>
      </c>
      <c r="AR64" s="4">
        <f>IF(AQ64="Not at all",0,IF(AQ64="Several days",1,IF(AQ64="More than half the days",2,3)))</f>
        <v>1</v>
      </c>
      <c r="AS64" s="4">
        <f>SUM(Form_Responses[[#This Row],[Score16]],Form_Responses[[#This Row],[Score10]],Form_Responses[[#This Row],[Score11]],Form_Responses[[#This Row],[Score12]],Form_Responses[[#This Row],[Score13]],Form_Responses[[#This Row],[Score14]],Form_Responses[[#This Row],[Score15]])</f>
        <v>7</v>
      </c>
      <c r="AT64" s="4" t="str">
        <f>IF(Form_Responses[[#This Row],[Anxiety Score]]&lt;=4,"Minimal anxiety",IF(Form_Responses[[#This Row],[Anxiety Score]]&lt;=9,"Mild anxiety",IF(Form_Responses[[#This Row],[Anxiety Score]]&lt;=14,"Moderate anxiety","Severe anxiety")))</f>
        <v xml:space="preserve">Mild anxiety</v>
      </c>
      <c r="AU64" s="3" t="s">
        <v>89</v>
      </c>
      <c r="AV64" s="4">
        <f>IF(Form_Responses[[#This Row],[1. In the last month, how often have you been upset because of unexpected situations related to academics, finances, or personal life?]]="Never",0,IF(Form_Responses[[#This Row],[1. In the last month, how often have you been upset because of unexpected situations related to academics, finances, or personal life?]]="Almost never",1,IF(Form_Responses[[#This Row],[1. In the last month, how often have you been upset because of unexpected situations related to academics, finances, or personal life?]]="Sometimes",2,IF(Form_Responses[[#This Row],[1. In the last month, how often have you been upset because of unexpected situations related to academics, finances, or personal life?]]="Fairly often",3,4))))</f>
        <v>2</v>
      </c>
      <c r="AW64" s="3" t="s">
        <v>89</v>
      </c>
      <c r="AX64" s="5">
        <f>IF(Form_Responses[[#This Row],[2. In the last month, how often have you felt unable to control important things in your academic or personal life?]]="Never",0,IF(Form_Responses[[#This Row],[2. In the last month, how often have you felt unable to control important things in your academic or personal life?]]="Almost never",1,IF(Form_Responses[[#This Row],[2. In the last month, how often have you felt unable to control important things in your academic or personal life?]]="Sometimes",2,IF(Form_Responses[[#This Row],[2. In the last month, how often have you felt unable to control important things in your academic or personal life?]]="Fairly often",3,4))))</f>
        <v>2</v>
      </c>
      <c r="AY64" s="3" t="s">
        <v>89</v>
      </c>
      <c r="AZ64" s="4">
        <f>IF(Form_Responses[[#This Row],[3. In the last month, how often have you felt nervous or stressed because of university responsibilities or personal challenges?]]="Never",0,IF(Form_Responses[[#This Row],[3. In the last month, how often have you felt nervous or stressed because of university responsibilities or personal challenges?]]="Almost never",1,IF(Form_Responses[[#This Row],[3. In the last month, how often have you felt nervous or stressed because of university responsibilities or personal challenges?]]="Sometimes",2,IF(Form_Responses[[#This Row],[3. In the last month, how often have you felt nervous or stressed because of university responsibilities or personal challenges?]]="Fairly often",3,4))))</f>
        <v>2</v>
      </c>
      <c r="BA64" s="3" t="s">
        <v>89</v>
      </c>
      <c r="BB64" s="4">
        <f>IF(Form_Responses[[#This Row],[4. In the last month, how often have you felt confident about your ability to handle academic or personal problems?]]="Never",4,IF(Form_Responses[[#This Row],[4. In the last month, how often have you felt confident about your ability to handle academic or personal problems?]]="Almost never",3,IF(Form_Responses[[#This Row],[4. In the last month, how often have you felt confident about your ability to handle academic or personal problems?]]="Sometimes",2,IF(Form_Responses[[#This Row],[4. In the last month, how often have you felt confident about your ability to handle academic or personal problems?]]="Fairly often",1,0))))</f>
        <v>2</v>
      </c>
      <c r="BC64" s="3" t="s">
        <v>89</v>
      </c>
      <c r="BD64" s="4">
        <f>IF(Form_Responses[[#This Row],[5. In the last month, how often have you felt that things were going well in your studies or personal life?]]="Never",4,IF(Form_Responses[[#This Row],[5. In the last month, how often have you felt that things were going well in your studies or personal life?]]="Almost never",3,IF(Form_Responses[[#This Row],[5. In the last month, how often have you felt that things were going well in your studies or personal life?]]="Sometimes",2,IF(Form_Responses[[#This Row],[5. In the last month, how often have you felt that things were going well in your studies or personal life?]]="Fairly often",1,0))))</f>
        <v>2</v>
      </c>
      <c r="BE64" s="3" t="s">
        <v>89</v>
      </c>
      <c r="BF64" s="4">
        <f>IF(Form_Responses[[#This Row],[6. In the last month, how often have you felt unable to cope with coursework, deadlines, or daily responsibilities?]]="Never",0,IF(Form_Responses[[#This Row],[6. In the last month, how often have you felt unable to cope with coursework, deadlines, or daily responsibilities?]]="Almost never",1,IF(Form_Responses[[#This Row],[6. In the last month, how often have you felt unable to cope with coursework, deadlines, or daily responsibilities?]]="Sometimes",2,IF(Form_Responses[[#This Row],[6. In the last month, how often have you felt unable to cope with coursework, deadlines, or daily responsibilities?]]="Fairly often",3,4))))</f>
        <v>2</v>
      </c>
      <c r="BG64" s="3" t="s">
        <v>89</v>
      </c>
      <c r="BH64" s="4">
        <f>IF(Form_Responses[[#This Row],[7. In the last month, how often have you been able to control irritations or frustrations in your life?]]="Never",4,IF(Form_Responses[[#This Row],[7. In the last month, how often have you been able to control irritations or frustrations in your life?]]="Almost never",3,IF(Form_Responses[[#This Row],[7. In the last month, how often have you been able to control irritations or frustrations in your life?]]="Sometimes",2,IF(Form_Responses[[#This Row],[7. In the last month, how often have you been able to control irritations or frustrations in your life?]]="Fairly often",1,0))))</f>
        <v>2</v>
      </c>
      <c r="BI64" s="3" t="s">
        <v>89</v>
      </c>
      <c r="BJ64" s="4">
        <f>IF(Form_Responses[[#This Row],[8. In the last month, how often have you felt that you were managing your academic and personal responsibilities well?]]="Never",4,IF(Form_Responses[[#This Row],[8. In the last month, how often have you felt that you were managing your academic and personal responsibilities well?]]="Almost never",3,IF(Form_Responses[[#This Row],[8. In the last month, how often have you felt that you were managing your academic and personal responsibilities well?]]="Sometimes",2,IF(Form_Responses[[#This Row],[8. In the last month, how often have you felt that you were managing your academic and personal responsibilities well?]]="Fairly often",1,0))))</f>
        <v>2</v>
      </c>
      <c r="BK64" s="3" t="s">
        <v>89</v>
      </c>
      <c r="BL64" s="5">
        <f>IF(Form_Responses[[#This Row],[9. In the last month, how often have you been angered or frustrated by situations outside your control, such as finances, academics, or relationships?]]="Never",0,IF(Form_Responses[[#This Row],[9. In the last month, how often have you been angered or frustrated by situations outside your control, such as finances, academics, or relationships?]]="Almost never",1,IF(Form_Responses[[#This Row],[9. In the last month, how often have you been angered or frustrated by situations outside your control, such as finances, academics, or relationships?]]="Sometimes",2,IF(Form_Responses[[#This Row],[9. In the last month, how often have you been angered or frustrated by situations outside your control, such as finances, academics, or relationships?]]="Fairly often",3,4))))</f>
        <v>2</v>
      </c>
      <c r="BM64" s="3" t="s">
        <v>89</v>
      </c>
      <c r="BN64" s="4">
        <f>IF(Form_Responses[[#This Row],[10. In the last month, how often have you felt that difficulties were piling up so much that you could not overcome them?]]="Never",0,IF(Form_Responses[[#This Row],[10. In the last month, how often have you felt that difficulties were piling up so much that you could not overcome them?]]="Almost never",1,IF(Form_Responses[[#This Row],[10. In the last month, how often have you felt that difficulties were piling up so much that you could not overcome them?]]="Sometimes",2,IF(Form_Responses[[#This Row],[10. In the last month, how often have you felt that difficulties were piling up so much that you could not overcome them?]]="Fairly often",3,4))))</f>
        <v>2</v>
      </c>
      <c r="BO64" s="4">
        <f>SUM(Form_Responses[[#This Row],[Score17]],Form_Responses[[#This Row],[Score18]],Form_Responses[[#This Row],[Score19]],Form_Responses[[#This Row],[Score20]],Form_Responses[[#This Row],[Score21]],Form_Responses[[#This Row],[Score22]],Form_Responses[[#This Row],[Score23]],Form_Responses[[#This Row],[Score24]],Form_Responses[[#This Row],[Score25]],Form_Responses[[#This Row],[Score26]])</f>
        <v>20</v>
      </c>
      <c r="BP64" s="4" t="str">
        <f>IF(Form_Responses[[#This Row],[Anxiety Score2]]&lt;=13,"Low stress",IF(Form_Responses[[#This Row],[Anxiety Score2]]&lt;=26,"Moderate stress","High stress"))</f>
        <v xml:space="preserve">Moderate stress</v>
      </c>
      <c r="BQ64" s="3" t="s">
        <v>91</v>
      </c>
      <c r="BR64" s="3" t="s">
        <v>106</v>
      </c>
      <c r="BS64" s="3" t="s">
        <v>247</v>
      </c>
      <c r="BT64" s="3" t="s">
        <v>126</v>
      </c>
      <c r="BU64" s="3" t="s">
        <v>76</v>
      </c>
      <c r="BV64" s="3" t="s">
        <v>180</v>
      </c>
      <c r="BW64" s="3" t="s">
        <v>392</v>
      </c>
      <c r="BX64" s="3" t="s">
        <v>393</v>
      </c>
    </row>
    <row r="65" ht="22.5" customHeight="1">
      <c r="A65" s="2">
        <v>46202.890092928239</v>
      </c>
      <c r="B65" s="3" t="s">
        <v>76</v>
      </c>
      <c r="C65" s="3" t="s">
        <v>394</v>
      </c>
      <c r="D65" s="3" t="s">
        <v>78</v>
      </c>
      <c r="E65" s="3" t="s">
        <v>326</v>
      </c>
      <c r="F65" s="3" t="s">
        <v>395</v>
      </c>
      <c r="G65" s="3" t="s">
        <v>81</v>
      </c>
      <c r="H65" s="3" t="s">
        <v>101</v>
      </c>
      <c r="I65" s="3" t="s">
        <v>114</v>
      </c>
      <c r="J65" s="3" t="s">
        <v>160</v>
      </c>
      <c r="K65" s="3" t="s">
        <v>87</v>
      </c>
      <c r="L65" s="4">
        <f>IF(K65="Not at all",0,IF(K65="Several days",1,IF(K65="More than half the days",2,3)))</f>
        <v>2</v>
      </c>
      <c r="M65" s="3" t="s">
        <v>104</v>
      </c>
      <c r="N65" s="4">
        <f>IF(M65="Not at all",0,IF(M65="Several days",1,IF(M65="More than half the days",2,3)))</f>
        <v>3</v>
      </c>
      <c r="O65" s="3" t="s">
        <v>86</v>
      </c>
      <c r="P65" s="5">
        <f>IF(O65="Not at all",0,IF(O65="Several days",1,IF(O65="More than half the days",2,3)))</f>
        <v>1</v>
      </c>
      <c r="Q65" s="3" t="s">
        <v>104</v>
      </c>
      <c r="R65" s="4">
        <f>IF(Q65="Not at all",0,IF(Q65="Several days",1,IF(Q65="More than half the days",2,3)))</f>
        <v>3</v>
      </c>
      <c r="S65" s="3" t="s">
        <v>104</v>
      </c>
      <c r="T65" s="4">
        <f>IF(S65="Not at all",0,IF(S65="Several days",1,IF(S65="More than half the days",2,3)))</f>
        <v>3</v>
      </c>
      <c r="U65" s="3" t="s">
        <v>85</v>
      </c>
      <c r="V65" s="4">
        <f>IF(U65="Not at all",0,IF(U65="Several days",1,IF(U65="More than half the days",2,3)))</f>
        <v>0</v>
      </c>
      <c r="W65" s="3" t="s">
        <v>85</v>
      </c>
      <c r="X65" s="4">
        <f>IF(W65="Not at all",0,IF(W65="Several days",1,IF(W65="More than half the days",2,3)))</f>
        <v>0</v>
      </c>
      <c r="Y65" s="3" t="s">
        <v>85</v>
      </c>
      <c r="Z65" s="4">
        <f>IF(Y65="Not at all",0,IF(Y65="Several days",1,IF(Y65="More than half the days",2,3)))</f>
        <v>0</v>
      </c>
      <c r="AA65" s="3" t="s">
        <v>85</v>
      </c>
      <c r="AB65" s="4">
        <f>IF(AA65="Not at all",0,IF(AA65="Several days",1,IF(AA65="More than half the days",2,3)))</f>
        <v>0</v>
      </c>
      <c r="AC65" s="4">
        <f>SUM(Form_Responses[[#This Row],[Score]],Form_Responses[[#This Row],[Score2]],Form_Responses[[#This Row],[Score3]],Form_Responses[[#This Row],[Score4]],Form_Responses[[#This Row],[Score5]],Form_Responses[[#This Row],[Score6]],Form_Responses[[#This Row],[Score7]],Form_Responses[[#This Row],[Score8]],Form_Responses[[#This Row],[Score9]])</f>
        <v>12</v>
      </c>
      <c r="AD65" s="4" t="str">
        <f>IF(Form_Responses[[#This Row],[Depression Score ]]&lt;=4,"Minimal symptoms",IF(Form_Responses[[#This Row],[Depression Score ]]&lt;=9,"Mild Depression",IF(Form_Responses[[#This Row],[Depression Score ]]&lt;=14,"Moderate depression",IF(Form_Responses[[#This Row],[Depression Score ]]&lt;=19,"Moderately severe depression","Severe depression"))))</f>
        <v xml:space="preserve">Moderate depression</v>
      </c>
      <c r="AE65" s="3" t="s">
        <v>87</v>
      </c>
      <c r="AF65" s="4">
        <f>IF(AE65="Not at all",0,IF(AE65="Several days",1,IF(AE65="More than half the days",2,3)))</f>
        <v>2</v>
      </c>
      <c r="AG65" s="3" t="s">
        <v>85</v>
      </c>
      <c r="AH65" s="4">
        <f>IF(AG65="Not at all",0,IF(AG65="Several days",1,IF(AG65="More than half the days",2,3)))</f>
        <v>0</v>
      </c>
      <c r="AI65" s="3" t="s">
        <v>86</v>
      </c>
      <c r="AJ65" s="4">
        <f>IF(AI65="Not at all",0,IF(AI65="Several days",1,IF(AI65="More than half the days",2,3)))</f>
        <v>1</v>
      </c>
      <c r="AK65" s="3" t="s">
        <v>104</v>
      </c>
      <c r="AL65" s="4">
        <f>IF(AK65="Not at all",0,IF(AK65="Several days",1,IF(AK65="More than half the days",2,3)))</f>
        <v>3</v>
      </c>
      <c r="AM65" s="3" t="s">
        <v>85</v>
      </c>
      <c r="AN65" s="4">
        <f>IF(AM65="Not at all",0,IF(AM65="Several days",1,IF(AM65="More than half the days",2,3)))</f>
        <v>0</v>
      </c>
      <c r="AO65" s="3" t="s">
        <v>85</v>
      </c>
      <c r="AP65" s="4">
        <f>IF(AO65="Not at all",0,IF(AO65="Several days",1,IF(AO65="More than half the days",2,3)))</f>
        <v>0</v>
      </c>
      <c r="AQ65" s="3" t="s">
        <v>85</v>
      </c>
      <c r="AR65" s="4">
        <f>IF(AQ65="Not at all",0,IF(AQ65="Several days",1,IF(AQ65="More than half the days",2,3)))</f>
        <v>0</v>
      </c>
      <c r="AS65" s="4">
        <f>SUM(Form_Responses[[#This Row],[Score16]],Form_Responses[[#This Row],[Score10]],Form_Responses[[#This Row],[Score11]],Form_Responses[[#This Row],[Score12]],Form_Responses[[#This Row],[Score13]],Form_Responses[[#This Row],[Score14]],Form_Responses[[#This Row],[Score15]])</f>
        <v>6</v>
      </c>
      <c r="AT65" s="4" t="str">
        <f>IF(Form_Responses[[#This Row],[Anxiety Score]]&lt;=4,"Minimal anxiety",IF(Form_Responses[[#This Row],[Anxiety Score]]&lt;=9,"Mild anxiety",IF(Form_Responses[[#This Row],[Anxiety Score]]&lt;=14,"Moderate anxiety","Severe anxiety")))</f>
        <v xml:space="preserve">Mild anxiety</v>
      </c>
      <c r="AU65" s="3" t="s">
        <v>89</v>
      </c>
      <c r="AV65" s="4">
        <f>IF(Form_Responses[[#This Row],[1. In the last month, how often have you been upset because of unexpected situations related to academics, finances, or personal life?]]="Never",0,IF(Form_Responses[[#This Row],[1. In the last month, how often have you been upset because of unexpected situations related to academics, finances, or personal life?]]="Almost never",1,IF(Form_Responses[[#This Row],[1. In the last month, how often have you been upset because of unexpected situations related to academics, finances, or personal life?]]="Sometimes",2,IF(Form_Responses[[#This Row],[1. In the last month, how often have you been upset because of unexpected situations related to academics, finances, or personal life?]]="Fairly often",3,4))))</f>
        <v>2</v>
      </c>
      <c r="AW65" s="3" t="s">
        <v>89</v>
      </c>
      <c r="AX65" s="5">
        <f>IF(Form_Responses[[#This Row],[2. In the last month, how often have you felt unable to control important things in your academic or personal life?]]="Never",0,IF(Form_Responses[[#This Row],[2. In the last month, how often have you felt unable to control important things in your academic or personal life?]]="Almost never",1,IF(Form_Responses[[#This Row],[2. In the last month, how often have you felt unable to control important things in your academic or personal life?]]="Sometimes",2,IF(Form_Responses[[#This Row],[2. In the last month, how often have you felt unable to control important things in your academic or personal life?]]="Fairly often",3,4))))</f>
        <v>2</v>
      </c>
      <c r="AY65" s="3" t="s">
        <v>89</v>
      </c>
      <c r="AZ65" s="4">
        <f>IF(Form_Responses[[#This Row],[3. In the last month, how often have you felt nervous or stressed because of university responsibilities or personal challenges?]]="Never",0,IF(Form_Responses[[#This Row],[3. In the last month, how often have you felt nervous or stressed because of university responsibilities or personal challenges?]]="Almost never",1,IF(Form_Responses[[#This Row],[3. In the last month, how often have you felt nervous or stressed because of university responsibilities or personal challenges?]]="Sometimes",2,IF(Form_Responses[[#This Row],[3. In the last month, how often have you felt nervous or stressed because of university responsibilities or personal challenges?]]="Fairly often",3,4))))</f>
        <v>2</v>
      </c>
      <c r="BA65" s="3" t="s">
        <v>89</v>
      </c>
      <c r="BB65" s="4">
        <f>IF(Form_Responses[[#This Row],[4. In the last month, how often have you felt confident about your ability to handle academic or personal problems?]]="Never",4,IF(Form_Responses[[#This Row],[4. In the last month, how often have you felt confident about your ability to handle academic or personal problems?]]="Almost never",3,IF(Form_Responses[[#This Row],[4. In the last month, how often have you felt confident about your ability to handle academic or personal problems?]]="Sometimes",2,IF(Form_Responses[[#This Row],[4. In the last month, how often have you felt confident about your ability to handle academic or personal problems?]]="Fairly often",1,0))))</f>
        <v>2</v>
      </c>
      <c r="BC65" s="3" t="s">
        <v>89</v>
      </c>
      <c r="BD65" s="4">
        <f>IF(Form_Responses[[#This Row],[5. In the last month, how often have you felt that things were going well in your studies or personal life?]]="Never",4,IF(Form_Responses[[#This Row],[5. In the last month, how often have you felt that things were going well in your studies or personal life?]]="Almost never",3,IF(Form_Responses[[#This Row],[5. In the last month, how often have you felt that things were going well in your studies or personal life?]]="Sometimes",2,IF(Form_Responses[[#This Row],[5. In the last month, how often have you felt that things were going well in your studies or personal life?]]="Fairly often",1,0))))</f>
        <v>2</v>
      </c>
      <c r="BE65" s="3" t="s">
        <v>89</v>
      </c>
      <c r="BF65" s="4">
        <f>IF(Form_Responses[[#This Row],[6. In the last month, how often have you felt unable to cope with coursework, deadlines, or daily responsibilities?]]="Never",0,IF(Form_Responses[[#This Row],[6. In the last month, how often have you felt unable to cope with coursework, deadlines, or daily responsibilities?]]="Almost never",1,IF(Form_Responses[[#This Row],[6. In the last month, how often have you felt unable to cope with coursework, deadlines, or daily responsibilities?]]="Sometimes",2,IF(Form_Responses[[#This Row],[6. In the last month, how often have you felt unable to cope with coursework, deadlines, or daily responsibilities?]]="Fairly often",3,4))))</f>
        <v>2</v>
      </c>
      <c r="BG65" s="3" t="s">
        <v>89</v>
      </c>
      <c r="BH65" s="4">
        <f>IF(Form_Responses[[#This Row],[7. In the last month, how often have you been able to control irritations or frustrations in your life?]]="Never",4,IF(Form_Responses[[#This Row],[7. In the last month, how often have you been able to control irritations or frustrations in your life?]]="Almost never",3,IF(Form_Responses[[#This Row],[7. In the last month, how often have you been able to control irritations or frustrations in your life?]]="Sometimes",2,IF(Form_Responses[[#This Row],[7. In the last month, how often have you been able to control irritations or frustrations in your life?]]="Fairly often",1,0))))</f>
        <v>2</v>
      </c>
      <c r="BI65" s="3" t="s">
        <v>89</v>
      </c>
      <c r="BJ65" s="4">
        <f>IF(Form_Responses[[#This Row],[8. In the last month, how often have you felt that you were managing your academic and personal responsibilities well?]]="Never",4,IF(Form_Responses[[#This Row],[8. In the last month, how often have you felt that you were managing your academic and personal responsibilities well?]]="Almost never",3,IF(Form_Responses[[#This Row],[8. In the last month, how often have you felt that you were managing your academic and personal responsibilities well?]]="Sometimes",2,IF(Form_Responses[[#This Row],[8. In the last month, how often have you felt that you were managing your academic and personal responsibilities well?]]="Fairly often",1,0))))</f>
        <v>2</v>
      </c>
      <c r="BK65" s="3" t="s">
        <v>89</v>
      </c>
      <c r="BL65" s="5">
        <f>IF(Form_Responses[[#This Row],[9. In the last month, how often have you been angered or frustrated by situations outside your control, such as finances, academics, or relationships?]]="Never",0,IF(Form_Responses[[#This Row],[9. In the last month, how often have you been angered or frustrated by situations outside your control, such as finances, academics, or relationships?]]="Almost never",1,IF(Form_Responses[[#This Row],[9. In the last month, how often have you been angered or frustrated by situations outside your control, such as finances, academics, or relationships?]]="Sometimes",2,IF(Form_Responses[[#This Row],[9. In the last month, how often have you been angered or frustrated by situations outside your control, such as finances, academics, or relationships?]]="Fairly often",3,4))))</f>
        <v>2</v>
      </c>
      <c r="BM65" s="3" t="s">
        <v>89</v>
      </c>
      <c r="BN65" s="4">
        <f>IF(Form_Responses[[#This Row],[10. In the last month, how often have you felt that difficulties were piling up so much that you could not overcome them?]]="Never",0,IF(Form_Responses[[#This Row],[10. In the last month, how often have you felt that difficulties were piling up so much that you could not overcome them?]]="Almost never",1,IF(Form_Responses[[#This Row],[10. In the last month, how often have you felt that difficulties were piling up so much that you could not overcome them?]]="Sometimes",2,IF(Form_Responses[[#This Row],[10. In the last month, how often have you felt that difficulties were piling up so much that you could not overcome them?]]="Fairly often",3,4))))</f>
        <v>2</v>
      </c>
      <c r="BO65" s="4">
        <f>SUM(Form_Responses[[#This Row],[Score17]],Form_Responses[[#This Row],[Score18]],Form_Responses[[#This Row],[Score19]],Form_Responses[[#This Row],[Score20]],Form_Responses[[#This Row],[Score21]],Form_Responses[[#This Row],[Score22]],Form_Responses[[#This Row],[Score23]],Form_Responses[[#This Row],[Score24]],Form_Responses[[#This Row],[Score25]],Form_Responses[[#This Row],[Score26]])</f>
        <v>20</v>
      </c>
      <c r="BP65" s="4" t="str">
        <f>IF(Form_Responses[[#This Row],[Anxiety Score2]]&lt;=13,"Low stress",IF(Form_Responses[[#This Row],[Anxiety Score2]]&lt;=26,"Moderate stress","High stress"))</f>
        <v xml:space="preserve">Moderate stress</v>
      </c>
      <c r="BQ65" s="3" t="s">
        <v>91</v>
      </c>
      <c r="BR65" s="3" t="s">
        <v>106</v>
      </c>
      <c r="BS65" s="3" t="s">
        <v>396</v>
      </c>
      <c r="BT65" s="3" t="s">
        <v>150</v>
      </c>
      <c r="BU65" s="3" t="s">
        <v>106</v>
      </c>
      <c r="BV65" s="3" t="s">
        <v>397</v>
      </c>
      <c r="BW65" s="3" t="s">
        <v>398</v>
      </c>
      <c r="BX65" s="3" t="s">
        <v>399</v>
      </c>
    </row>
    <row r="66" ht="22.5" customHeight="1">
      <c r="A66" s="2">
        <v>46202.892632280098</v>
      </c>
      <c r="B66" s="3" t="s">
        <v>76</v>
      </c>
      <c r="C66" s="3" t="s">
        <v>154</v>
      </c>
      <c r="D66" s="3" t="s">
        <v>78</v>
      </c>
      <c r="E66" s="3" t="s">
        <v>326</v>
      </c>
      <c r="F66" s="3" t="s">
        <v>400</v>
      </c>
      <c r="G66" s="3" t="s">
        <v>81</v>
      </c>
      <c r="H66" s="3" t="s">
        <v>101</v>
      </c>
      <c r="I66" s="3" t="s">
        <v>102</v>
      </c>
      <c r="J66" s="3" t="s">
        <v>84</v>
      </c>
      <c r="K66" s="3" t="s">
        <v>85</v>
      </c>
      <c r="L66" s="4">
        <f>IF(K66="Not at all",0,IF(K66="Several days",1,IF(K66="More than half the days",2,3)))</f>
        <v>0</v>
      </c>
      <c r="M66" s="3" t="s">
        <v>87</v>
      </c>
      <c r="N66" s="4">
        <f>IF(M66="Not at all",0,IF(M66="Several days",1,IF(M66="More than half the days",2,3)))</f>
        <v>2</v>
      </c>
      <c r="O66" s="3" t="s">
        <v>85</v>
      </c>
      <c r="P66" s="5">
        <f>IF(O66="Not at all",0,IF(O66="Several days",1,IF(O66="More than half the days",2,3)))</f>
        <v>0</v>
      </c>
      <c r="Q66" s="3" t="s">
        <v>85</v>
      </c>
      <c r="R66" s="4">
        <f>IF(Q66="Not at all",0,IF(Q66="Several days",1,IF(Q66="More than half the days",2,3)))</f>
        <v>0</v>
      </c>
      <c r="S66" s="3" t="s">
        <v>85</v>
      </c>
      <c r="T66" s="4">
        <f>IF(S66="Not at all",0,IF(S66="Several days",1,IF(S66="More than half the days",2,3)))</f>
        <v>0</v>
      </c>
      <c r="U66" s="3" t="s">
        <v>85</v>
      </c>
      <c r="V66" s="4">
        <f>IF(U66="Not at all",0,IF(U66="Several days",1,IF(U66="More than half the days",2,3)))</f>
        <v>0</v>
      </c>
      <c r="W66" s="3" t="s">
        <v>85</v>
      </c>
      <c r="X66" s="4">
        <f>IF(W66="Not at all",0,IF(W66="Several days",1,IF(W66="More than half the days",2,3)))</f>
        <v>0</v>
      </c>
      <c r="Y66" s="3" t="s">
        <v>85</v>
      </c>
      <c r="Z66" s="4">
        <f>IF(Y66="Not at all",0,IF(Y66="Several days",1,IF(Y66="More than half the days",2,3)))</f>
        <v>0</v>
      </c>
      <c r="AA66" s="3" t="s">
        <v>85</v>
      </c>
      <c r="AB66" s="4">
        <f>IF(AA66="Not at all",0,IF(AA66="Several days",1,IF(AA66="More than half the days",2,3)))</f>
        <v>0</v>
      </c>
      <c r="AC66" s="4">
        <f>SUM(Form_Responses[[#This Row],[Score]],Form_Responses[[#This Row],[Score2]],Form_Responses[[#This Row],[Score3]],Form_Responses[[#This Row],[Score4]],Form_Responses[[#This Row],[Score5]],Form_Responses[[#This Row],[Score6]],Form_Responses[[#This Row],[Score7]],Form_Responses[[#This Row],[Score8]],Form_Responses[[#This Row],[Score9]])</f>
        <v>2</v>
      </c>
      <c r="AD66" s="4" t="str">
        <f>IF(Form_Responses[[#This Row],[Depression Score ]]&lt;=4,"Minimal symptoms",IF(Form_Responses[[#This Row],[Depression Score ]]&lt;=9,"Mild Depression",IF(Form_Responses[[#This Row],[Depression Score ]]&lt;=14,"Moderate depression",IF(Form_Responses[[#This Row],[Depression Score ]]&lt;=19,"Moderately severe depression","Severe depression"))))</f>
        <v xml:space="preserve">Minimal symptoms</v>
      </c>
      <c r="AE66" s="3" t="s">
        <v>86</v>
      </c>
      <c r="AF66" s="4">
        <f>IF(AE66="Not at all",0,IF(AE66="Several days",1,IF(AE66="More than half the days",2,3)))</f>
        <v>1</v>
      </c>
      <c r="AG66" s="3" t="s">
        <v>87</v>
      </c>
      <c r="AH66" s="4">
        <f>IF(AG66="Not at all",0,IF(AG66="Several days",1,IF(AG66="More than half the days",2,3)))</f>
        <v>2</v>
      </c>
      <c r="AI66" s="3" t="s">
        <v>86</v>
      </c>
      <c r="AJ66" s="4">
        <f>IF(AI66="Not at all",0,IF(AI66="Several days",1,IF(AI66="More than half the days",2,3)))</f>
        <v>1</v>
      </c>
      <c r="AK66" s="3" t="s">
        <v>86</v>
      </c>
      <c r="AL66" s="4">
        <f>IF(AK66="Not at all",0,IF(AK66="Several days",1,IF(AK66="More than half the days",2,3)))</f>
        <v>1</v>
      </c>
      <c r="AM66" s="3" t="s">
        <v>85</v>
      </c>
      <c r="AN66" s="4">
        <f>IF(AM66="Not at all",0,IF(AM66="Several days",1,IF(AM66="More than half the days",2,3)))</f>
        <v>0</v>
      </c>
      <c r="AO66" s="3" t="s">
        <v>85</v>
      </c>
      <c r="AP66" s="4">
        <f>IF(AO66="Not at all",0,IF(AO66="Several days",1,IF(AO66="More than half the days",2,3)))</f>
        <v>0</v>
      </c>
      <c r="AQ66" s="3" t="s">
        <v>85</v>
      </c>
      <c r="AR66" s="4">
        <f>IF(AQ66="Not at all",0,IF(AQ66="Several days",1,IF(AQ66="More than half the days",2,3)))</f>
        <v>0</v>
      </c>
      <c r="AS66" s="4">
        <f>SUM(Form_Responses[[#This Row],[Score16]],Form_Responses[[#This Row],[Score10]],Form_Responses[[#This Row],[Score11]],Form_Responses[[#This Row],[Score12]],Form_Responses[[#This Row],[Score13]],Form_Responses[[#This Row],[Score14]],Form_Responses[[#This Row],[Score15]])</f>
        <v>5</v>
      </c>
      <c r="AT66" s="4" t="str">
        <f>IF(Form_Responses[[#This Row],[Anxiety Score]]&lt;=4,"Minimal anxiety",IF(Form_Responses[[#This Row],[Anxiety Score]]&lt;=9,"Mild anxiety",IF(Form_Responses[[#This Row],[Anxiety Score]]&lt;=14,"Moderate anxiety","Severe anxiety")))</f>
        <v xml:space="preserve">Mild anxiety</v>
      </c>
      <c r="AU66" s="3" t="s">
        <v>89</v>
      </c>
      <c r="AV66" s="4">
        <f>IF(Form_Responses[[#This Row],[1. In the last month, how often have you been upset because of unexpected situations related to academics, finances, or personal life?]]="Never",0,IF(Form_Responses[[#This Row],[1. In the last month, how often have you been upset because of unexpected situations related to academics, finances, or personal life?]]="Almost never",1,IF(Form_Responses[[#This Row],[1. In the last month, how often have you been upset because of unexpected situations related to academics, finances, or personal life?]]="Sometimes",2,IF(Form_Responses[[#This Row],[1. In the last month, how often have you been upset because of unexpected situations related to academics, finances, or personal life?]]="Fairly often",3,4))))</f>
        <v>2</v>
      </c>
      <c r="AW66" s="3" t="s">
        <v>89</v>
      </c>
      <c r="AX66" s="5">
        <f>IF(Form_Responses[[#This Row],[2. In the last month, how often have you felt unable to control important things in your academic or personal life?]]="Never",0,IF(Form_Responses[[#This Row],[2. In the last month, how often have you felt unable to control important things in your academic or personal life?]]="Almost never",1,IF(Form_Responses[[#This Row],[2. In the last month, how often have you felt unable to control important things in your academic or personal life?]]="Sometimes",2,IF(Form_Responses[[#This Row],[2. In the last month, how often have you felt unable to control important things in your academic or personal life?]]="Fairly often",3,4))))</f>
        <v>2</v>
      </c>
      <c r="AY66" s="3" t="s">
        <v>89</v>
      </c>
      <c r="AZ66" s="4">
        <f>IF(Form_Responses[[#This Row],[3. In the last month, how often have you felt nervous or stressed because of university responsibilities or personal challenges?]]="Never",0,IF(Form_Responses[[#This Row],[3. In the last month, how often have you felt nervous or stressed because of university responsibilities or personal challenges?]]="Almost never",1,IF(Form_Responses[[#This Row],[3. In the last month, how often have you felt nervous or stressed because of university responsibilities or personal challenges?]]="Sometimes",2,IF(Form_Responses[[#This Row],[3. In the last month, how often have you felt nervous or stressed because of university responsibilities or personal challenges?]]="Fairly often",3,4))))</f>
        <v>2</v>
      </c>
      <c r="BA66" s="3" t="s">
        <v>89</v>
      </c>
      <c r="BB66" s="4">
        <f>IF(Form_Responses[[#This Row],[4. In the last month, how often have you felt confident about your ability to handle academic or personal problems?]]="Never",4,IF(Form_Responses[[#This Row],[4. In the last month, how often have you felt confident about your ability to handle academic or personal problems?]]="Almost never",3,IF(Form_Responses[[#This Row],[4. In the last month, how often have you felt confident about your ability to handle academic or personal problems?]]="Sometimes",2,IF(Form_Responses[[#This Row],[4. In the last month, how often have you felt confident about your ability to handle academic or personal problems?]]="Fairly often",1,0))))</f>
        <v>2</v>
      </c>
      <c r="BC66" s="3" t="s">
        <v>89</v>
      </c>
      <c r="BD66" s="4">
        <f>IF(Form_Responses[[#This Row],[5. In the last month, how often have you felt that things were going well in your studies or personal life?]]="Never",4,IF(Form_Responses[[#This Row],[5. In the last month, how often have you felt that things were going well in your studies or personal life?]]="Almost never",3,IF(Form_Responses[[#This Row],[5. In the last month, how often have you felt that things were going well in your studies or personal life?]]="Sometimes",2,IF(Form_Responses[[#This Row],[5. In the last month, how often have you felt that things were going well in your studies or personal life?]]="Fairly often",1,0))))</f>
        <v>2</v>
      </c>
      <c r="BE66" s="3" t="s">
        <v>89</v>
      </c>
      <c r="BF66" s="4">
        <f>IF(Form_Responses[[#This Row],[6. In the last month, how often have you felt unable to cope with coursework, deadlines, or daily responsibilities?]]="Never",0,IF(Form_Responses[[#This Row],[6. In the last month, how often have you felt unable to cope with coursework, deadlines, or daily responsibilities?]]="Almost never",1,IF(Form_Responses[[#This Row],[6. In the last month, how often have you felt unable to cope with coursework, deadlines, or daily responsibilities?]]="Sometimes",2,IF(Form_Responses[[#This Row],[6. In the last month, how often have you felt unable to cope with coursework, deadlines, or daily responsibilities?]]="Fairly often",3,4))))</f>
        <v>2</v>
      </c>
      <c r="BG66" s="3" t="s">
        <v>89</v>
      </c>
      <c r="BH66" s="4">
        <f>IF(Form_Responses[[#This Row],[7. In the last month, how often have you been able to control irritations or frustrations in your life?]]="Never",4,IF(Form_Responses[[#This Row],[7. In the last month, how often have you been able to control irritations or frustrations in your life?]]="Almost never",3,IF(Form_Responses[[#This Row],[7. In the last month, how often have you been able to control irritations or frustrations in your life?]]="Sometimes",2,IF(Form_Responses[[#This Row],[7. In the last month, how often have you been able to control irritations or frustrations in your life?]]="Fairly often",1,0))))</f>
        <v>2</v>
      </c>
      <c r="BI66" s="3" t="s">
        <v>89</v>
      </c>
      <c r="BJ66" s="4">
        <f>IF(Form_Responses[[#This Row],[8. In the last month, how often have you felt that you were managing your academic and personal responsibilities well?]]="Never",4,IF(Form_Responses[[#This Row],[8. In the last month, how often have you felt that you were managing your academic and personal responsibilities well?]]="Almost never",3,IF(Form_Responses[[#This Row],[8. In the last month, how often have you felt that you were managing your academic and personal responsibilities well?]]="Sometimes",2,IF(Form_Responses[[#This Row],[8. In the last month, how often have you felt that you were managing your academic and personal responsibilities well?]]="Fairly often",1,0))))</f>
        <v>2</v>
      </c>
      <c r="BK66" s="3" t="s">
        <v>89</v>
      </c>
      <c r="BL66" s="5">
        <f>IF(Form_Responses[[#This Row],[9. In the last month, how often have you been angered or frustrated by situations outside your control, such as finances, academics, or relationships?]]="Never",0,IF(Form_Responses[[#This Row],[9. In the last month, how often have you been angered or frustrated by situations outside your control, such as finances, academics, or relationships?]]="Almost never",1,IF(Form_Responses[[#This Row],[9. In the last month, how often have you been angered or frustrated by situations outside your control, such as finances, academics, or relationships?]]="Sometimes",2,IF(Form_Responses[[#This Row],[9. In the last month, how often have you been angered or frustrated by situations outside your control, such as finances, academics, or relationships?]]="Fairly often",3,4))))</f>
        <v>2</v>
      </c>
      <c r="BM66" s="3" t="s">
        <v>89</v>
      </c>
      <c r="BN66" s="4">
        <f>IF(Form_Responses[[#This Row],[10. In the last month, how often have you felt that difficulties were piling up so much that you could not overcome them?]]="Never",0,IF(Form_Responses[[#This Row],[10. In the last month, how often have you felt that difficulties were piling up so much that you could not overcome them?]]="Almost never",1,IF(Form_Responses[[#This Row],[10. In the last month, how often have you felt that difficulties were piling up so much that you could not overcome them?]]="Sometimes",2,IF(Form_Responses[[#This Row],[10. In the last month, how often have you felt that difficulties were piling up so much that you could not overcome them?]]="Fairly often",3,4))))</f>
        <v>2</v>
      </c>
      <c r="BO66" s="4">
        <f>SUM(Form_Responses[[#This Row],[Score17]],Form_Responses[[#This Row],[Score18]],Form_Responses[[#This Row],[Score19]],Form_Responses[[#This Row],[Score20]],Form_Responses[[#This Row],[Score21]],Form_Responses[[#This Row],[Score22]],Form_Responses[[#This Row],[Score23]],Form_Responses[[#This Row],[Score24]],Form_Responses[[#This Row],[Score25]],Form_Responses[[#This Row],[Score26]])</f>
        <v>20</v>
      </c>
      <c r="BP66" s="4" t="str">
        <f>IF(Form_Responses[[#This Row],[Anxiety Score2]]&lt;=13,"Low stress",IF(Form_Responses[[#This Row],[Anxiety Score2]]&lt;=26,"Moderate stress","High stress"))</f>
        <v xml:space="preserve">Moderate stress</v>
      </c>
      <c r="BQ66" s="3" t="s">
        <v>76</v>
      </c>
      <c r="BR66" s="3" t="s">
        <v>76</v>
      </c>
      <c r="BS66" s="3" t="s">
        <v>289</v>
      </c>
      <c r="BT66" s="3" t="s">
        <v>108</v>
      </c>
      <c r="BU66" s="3" t="s">
        <v>76</v>
      </c>
      <c r="BV66" s="3" t="s">
        <v>401</v>
      </c>
      <c r="BW66" s="3" t="s">
        <v>402</v>
      </c>
      <c r="BX66" s="3" t="s">
        <v>403</v>
      </c>
    </row>
    <row r="67" ht="22.5" customHeight="1">
      <c r="A67" s="2">
        <v>46202.8946278125</v>
      </c>
      <c r="B67" s="3" t="s">
        <v>76</v>
      </c>
      <c r="C67" s="3" t="s">
        <v>77</v>
      </c>
      <c r="D67" s="3" t="s">
        <v>78</v>
      </c>
      <c r="E67" s="3" t="s">
        <v>326</v>
      </c>
      <c r="F67" s="3" t="s">
        <v>400</v>
      </c>
      <c r="G67" s="3" t="s">
        <v>81</v>
      </c>
      <c r="H67" s="3" t="s">
        <v>101</v>
      </c>
      <c r="I67" s="3" t="s">
        <v>114</v>
      </c>
      <c r="J67" s="3" t="s">
        <v>84</v>
      </c>
      <c r="K67" s="3" t="s">
        <v>87</v>
      </c>
      <c r="L67" s="4">
        <f>IF(K67="Not at all",0,IF(K67="Several days",1,IF(K67="More than half the days",2,3)))</f>
        <v>2</v>
      </c>
      <c r="M67" s="3" t="s">
        <v>104</v>
      </c>
      <c r="N67" s="4">
        <f>IF(M67="Not at all",0,IF(M67="Several days",1,IF(M67="More than half the days",2,3)))</f>
        <v>3</v>
      </c>
      <c r="O67" s="3" t="s">
        <v>104</v>
      </c>
      <c r="P67" s="5">
        <f>IF(O67="Not at all",0,IF(O67="Several days",1,IF(O67="More than half the days",2,3)))</f>
        <v>3</v>
      </c>
      <c r="Q67" s="3" t="s">
        <v>104</v>
      </c>
      <c r="R67" s="4">
        <f>IF(Q67="Not at all",0,IF(Q67="Several days",1,IF(Q67="More than half the days",2,3)))</f>
        <v>3</v>
      </c>
      <c r="S67" s="3" t="s">
        <v>104</v>
      </c>
      <c r="T67" s="4">
        <f>IF(S67="Not at all",0,IF(S67="Several days",1,IF(S67="More than half the days",2,3)))</f>
        <v>3</v>
      </c>
      <c r="U67" s="3" t="s">
        <v>86</v>
      </c>
      <c r="V67" s="4">
        <f>IF(U67="Not at all",0,IF(U67="Several days",1,IF(U67="More than half the days",2,3)))</f>
        <v>1</v>
      </c>
      <c r="W67" s="3" t="s">
        <v>86</v>
      </c>
      <c r="X67" s="4">
        <f>IF(W67="Not at all",0,IF(W67="Several days",1,IF(W67="More than half the days",2,3)))</f>
        <v>1</v>
      </c>
      <c r="Y67" s="3" t="s">
        <v>86</v>
      </c>
      <c r="Z67" s="4">
        <f>IF(Y67="Not at all",0,IF(Y67="Several days",1,IF(Y67="More than half the days",2,3)))</f>
        <v>1</v>
      </c>
      <c r="AA67" s="3" t="s">
        <v>85</v>
      </c>
      <c r="AB67" s="4">
        <f>IF(AA67="Not at all",0,IF(AA67="Several days",1,IF(AA67="More than half the days",2,3)))</f>
        <v>0</v>
      </c>
      <c r="AC67" s="4">
        <f>SUM(Form_Responses[[#This Row],[Score]],Form_Responses[[#This Row],[Score2]],Form_Responses[[#This Row],[Score3]],Form_Responses[[#This Row],[Score4]],Form_Responses[[#This Row],[Score5]],Form_Responses[[#This Row],[Score6]],Form_Responses[[#This Row],[Score7]],Form_Responses[[#This Row],[Score8]],Form_Responses[[#This Row],[Score9]])</f>
        <v>17</v>
      </c>
      <c r="AD67" s="4" t="str">
        <f>IF(Form_Responses[[#This Row],[Depression Score ]]&lt;=4,"Minimal symptoms",IF(Form_Responses[[#This Row],[Depression Score ]]&lt;=9,"Mild Depression",IF(Form_Responses[[#This Row],[Depression Score ]]&lt;=14,"Moderate depression",IF(Form_Responses[[#This Row],[Depression Score ]]&lt;=19,"Moderately severe depression","Severe depression"))))</f>
        <v xml:space="preserve">Moderately severe depression</v>
      </c>
      <c r="AE67" s="3" t="s">
        <v>86</v>
      </c>
      <c r="AF67" s="4">
        <f>IF(AE67="Not at all",0,IF(AE67="Several days",1,IF(AE67="More than half the days",2,3)))</f>
        <v>1</v>
      </c>
      <c r="AG67" s="3" t="s">
        <v>104</v>
      </c>
      <c r="AH67" s="4">
        <f>IF(AG67="Not at all",0,IF(AG67="Several days",1,IF(AG67="More than half the days",2,3)))</f>
        <v>3</v>
      </c>
      <c r="AI67" s="3" t="s">
        <v>86</v>
      </c>
      <c r="AJ67" s="4">
        <f>IF(AI67="Not at all",0,IF(AI67="Several days",1,IF(AI67="More than half the days",2,3)))</f>
        <v>1</v>
      </c>
      <c r="AK67" s="3" t="s">
        <v>87</v>
      </c>
      <c r="AL67" s="4">
        <f>IF(AK67="Not at all",0,IF(AK67="Several days",1,IF(AK67="More than half the days",2,3)))</f>
        <v>2</v>
      </c>
      <c r="AM67" s="3" t="s">
        <v>86</v>
      </c>
      <c r="AN67" s="4">
        <f>IF(AM67="Not at all",0,IF(AM67="Several days",1,IF(AM67="More than half the days",2,3)))</f>
        <v>1</v>
      </c>
      <c r="AO67" s="3" t="s">
        <v>104</v>
      </c>
      <c r="AP67" s="4">
        <f>IF(AO67="Not at all",0,IF(AO67="Several days",1,IF(AO67="More than half the days",2,3)))</f>
        <v>3</v>
      </c>
      <c r="AQ67" s="3" t="s">
        <v>85</v>
      </c>
      <c r="AR67" s="4">
        <f>IF(AQ67="Not at all",0,IF(AQ67="Several days",1,IF(AQ67="More than half the days",2,3)))</f>
        <v>0</v>
      </c>
      <c r="AS67" s="4">
        <f>SUM(Form_Responses[[#This Row],[Score16]],Form_Responses[[#This Row],[Score10]],Form_Responses[[#This Row],[Score11]],Form_Responses[[#This Row],[Score12]],Form_Responses[[#This Row],[Score13]],Form_Responses[[#This Row],[Score14]],Form_Responses[[#This Row],[Score15]])</f>
        <v>11</v>
      </c>
      <c r="AT67" s="4" t="str">
        <f>IF(Form_Responses[[#This Row],[Anxiety Score]]&lt;=4,"Minimal anxiety",IF(Form_Responses[[#This Row],[Anxiety Score]]&lt;=9,"Mild anxiety",IF(Form_Responses[[#This Row],[Anxiety Score]]&lt;=14,"Moderate anxiety","Severe anxiety")))</f>
        <v xml:space="preserve">Moderate anxiety</v>
      </c>
      <c r="AU67" s="3" t="s">
        <v>89</v>
      </c>
      <c r="AV67" s="4">
        <f>IF(Form_Responses[[#This Row],[1. In the last month, how often have you been upset because of unexpected situations related to academics, finances, or personal life?]]="Never",0,IF(Form_Responses[[#This Row],[1. In the last month, how often have you been upset because of unexpected situations related to academics, finances, or personal life?]]="Almost never",1,IF(Form_Responses[[#This Row],[1. In the last month, how often have you been upset because of unexpected situations related to academics, finances, or personal life?]]="Sometimes",2,IF(Form_Responses[[#This Row],[1. In the last month, how often have you been upset because of unexpected situations related to academics, finances, or personal life?]]="Fairly often",3,4))))</f>
        <v>2</v>
      </c>
      <c r="AW67" s="3" t="s">
        <v>88</v>
      </c>
      <c r="AX67" s="5">
        <f>IF(Form_Responses[[#This Row],[2. In the last month, how often have you felt unable to control important things in your academic or personal life?]]="Never",0,IF(Form_Responses[[#This Row],[2. In the last month, how often have you felt unable to control important things in your academic or personal life?]]="Almost never",1,IF(Form_Responses[[#This Row],[2. In the last month, how often have you felt unable to control important things in your academic or personal life?]]="Sometimes",2,IF(Form_Responses[[#This Row],[2. In the last month, how often have you felt unable to control important things in your academic or personal life?]]="Fairly often",3,4))))</f>
        <v>3</v>
      </c>
      <c r="AY67" s="3" t="s">
        <v>105</v>
      </c>
      <c r="AZ67" s="4">
        <f>IF(Form_Responses[[#This Row],[3. In the last month, how often have you felt nervous or stressed because of university responsibilities or personal challenges?]]="Never",0,IF(Form_Responses[[#This Row],[3. In the last month, how often have you felt nervous or stressed because of university responsibilities or personal challenges?]]="Almost never",1,IF(Form_Responses[[#This Row],[3. In the last month, how often have you felt nervous or stressed because of university responsibilities or personal challenges?]]="Sometimes",2,IF(Form_Responses[[#This Row],[3. In the last month, how often have you felt nervous or stressed because of university responsibilities or personal challenges?]]="Fairly often",3,4))))</f>
        <v>4</v>
      </c>
      <c r="BA67" s="3" t="s">
        <v>89</v>
      </c>
      <c r="BB67" s="4">
        <f>IF(Form_Responses[[#This Row],[4. In the last month, how often have you felt confident about your ability to handle academic or personal problems?]]="Never",4,IF(Form_Responses[[#This Row],[4. In the last month, how often have you felt confident about your ability to handle academic or personal problems?]]="Almost never",3,IF(Form_Responses[[#This Row],[4. In the last month, how often have you felt confident about your ability to handle academic or personal problems?]]="Sometimes",2,IF(Form_Responses[[#This Row],[4. In the last month, how often have you felt confident about your ability to handle academic or personal problems?]]="Fairly often",1,0))))</f>
        <v>2</v>
      </c>
      <c r="BC67" s="3" t="s">
        <v>89</v>
      </c>
      <c r="BD67" s="4">
        <f>IF(Form_Responses[[#This Row],[5. In the last month, how often have you felt that things were going well in your studies or personal life?]]="Never",4,IF(Form_Responses[[#This Row],[5. In the last month, how often have you felt that things were going well in your studies or personal life?]]="Almost never",3,IF(Form_Responses[[#This Row],[5. In the last month, how often have you felt that things were going well in your studies or personal life?]]="Sometimes",2,IF(Form_Responses[[#This Row],[5. In the last month, how often have you felt that things were going well in your studies or personal life?]]="Fairly often",1,0))))</f>
        <v>2</v>
      </c>
      <c r="BE67" s="3" t="s">
        <v>88</v>
      </c>
      <c r="BF67" s="4">
        <f>IF(Form_Responses[[#This Row],[6. In the last month, how often have you felt unable to cope with coursework, deadlines, or daily responsibilities?]]="Never",0,IF(Form_Responses[[#This Row],[6. In the last month, how often have you felt unable to cope with coursework, deadlines, or daily responsibilities?]]="Almost never",1,IF(Form_Responses[[#This Row],[6. In the last month, how often have you felt unable to cope with coursework, deadlines, or daily responsibilities?]]="Sometimes",2,IF(Form_Responses[[#This Row],[6. In the last month, how often have you felt unable to cope with coursework, deadlines, or daily responsibilities?]]="Fairly often",3,4))))</f>
        <v>3</v>
      </c>
      <c r="BG67" s="3" t="s">
        <v>105</v>
      </c>
      <c r="BH67" s="4">
        <f>IF(Form_Responses[[#This Row],[7. In the last month, how often have you been able to control irritations or frustrations in your life?]]="Never",4,IF(Form_Responses[[#This Row],[7. In the last month, how often have you been able to control irritations or frustrations in your life?]]="Almost never",3,IF(Form_Responses[[#This Row],[7. In the last month, how often have you been able to control irritations or frustrations in your life?]]="Sometimes",2,IF(Form_Responses[[#This Row],[7. In the last month, how often have you been able to control irritations or frustrations in your life?]]="Fairly often",1,0))))</f>
        <v>0</v>
      </c>
      <c r="BI67" s="3" t="s">
        <v>105</v>
      </c>
      <c r="BJ67" s="4">
        <f>IF(Form_Responses[[#This Row],[8. In the last month, how often have you felt that you were managing your academic and personal responsibilities well?]]="Never",4,IF(Form_Responses[[#This Row],[8. In the last month, how often have you felt that you were managing your academic and personal responsibilities well?]]="Almost never",3,IF(Form_Responses[[#This Row],[8. In the last month, how often have you felt that you were managing your academic and personal responsibilities well?]]="Sometimes",2,IF(Form_Responses[[#This Row],[8. In the last month, how often have you felt that you were managing your academic and personal responsibilities well?]]="Fairly often",1,0))))</f>
        <v>0</v>
      </c>
      <c r="BK67" s="3" t="s">
        <v>105</v>
      </c>
      <c r="BL67" s="5">
        <f>IF(Form_Responses[[#This Row],[9. In the last month, how often have you been angered or frustrated by situations outside your control, such as finances, academics, or relationships?]]="Never",0,IF(Form_Responses[[#This Row],[9. In the last month, how often have you been angered or frustrated by situations outside your control, such as finances, academics, or relationships?]]="Almost never",1,IF(Form_Responses[[#This Row],[9. In the last month, how often have you been angered or frustrated by situations outside your control, such as finances, academics, or relationships?]]="Sometimes",2,IF(Form_Responses[[#This Row],[9. In the last month, how often have you been angered or frustrated by situations outside your control, such as finances, academics, or relationships?]]="Fairly often",3,4))))</f>
        <v>4</v>
      </c>
      <c r="BM67" s="3" t="s">
        <v>90</v>
      </c>
      <c r="BN67" s="4">
        <f>IF(Form_Responses[[#This Row],[10. In the last month, how often have you felt that difficulties were piling up so much that you could not overcome them?]]="Never",0,IF(Form_Responses[[#This Row],[10. In the last month, how often have you felt that difficulties were piling up so much that you could not overcome them?]]="Almost never",1,IF(Form_Responses[[#This Row],[10. In the last month, how often have you felt that difficulties were piling up so much that you could not overcome them?]]="Sometimes",2,IF(Form_Responses[[#This Row],[10. In the last month, how often have you felt that difficulties were piling up so much that you could not overcome them?]]="Fairly often",3,4))))</f>
        <v>1</v>
      </c>
      <c r="BO67" s="4">
        <f>SUM(Form_Responses[[#This Row],[Score17]],Form_Responses[[#This Row],[Score18]],Form_Responses[[#This Row],[Score19]],Form_Responses[[#This Row],[Score20]],Form_Responses[[#This Row],[Score21]],Form_Responses[[#This Row],[Score22]],Form_Responses[[#This Row],[Score23]],Form_Responses[[#This Row],[Score24]],Form_Responses[[#This Row],[Score25]],Form_Responses[[#This Row],[Score26]])</f>
        <v>21</v>
      </c>
      <c r="BP67" s="4" t="str">
        <f>IF(Form_Responses[[#This Row],[Anxiety Score2]]&lt;=13,"Low stress",IF(Form_Responses[[#This Row],[Anxiety Score2]]&lt;=26,"Moderate stress","High stress"))</f>
        <v xml:space="preserve">Moderate stress</v>
      </c>
      <c r="BQ67" s="3" t="s">
        <v>91</v>
      </c>
      <c r="BR67" s="3" t="s">
        <v>76</v>
      </c>
      <c r="BS67" s="3" t="s">
        <v>404</v>
      </c>
      <c r="BT67" s="3" t="s">
        <v>162</v>
      </c>
      <c r="BU67" s="3" t="s">
        <v>106</v>
      </c>
      <c r="BV67" s="3" t="s">
        <v>405</v>
      </c>
      <c r="BW67" s="3" t="s">
        <v>406</v>
      </c>
      <c r="BX67" s="3" t="s">
        <v>407</v>
      </c>
    </row>
    <row r="68" ht="22.5" customHeight="1">
      <c r="A68" s="2">
        <v>46202.90095362268</v>
      </c>
      <c r="B68" s="3" t="s">
        <v>76</v>
      </c>
      <c r="C68" s="3" t="s">
        <v>154</v>
      </c>
      <c r="D68" s="3" t="s">
        <v>78</v>
      </c>
      <c r="E68" s="3" t="s">
        <v>79</v>
      </c>
      <c r="F68" s="3" t="s">
        <v>241</v>
      </c>
      <c r="G68" s="3" t="s">
        <v>81</v>
      </c>
      <c r="H68" s="3" t="s">
        <v>101</v>
      </c>
      <c r="I68" s="3" t="s">
        <v>83</v>
      </c>
      <c r="J68" s="3" t="s">
        <v>84</v>
      </c>
      <c r="K68" s="3" t="s">
        <v>86</v>
      </c>
      <c r="L68" s="4">
        <f>IF(K68="Not at all",0,IF(K68="Several days",1,IF(K68="More than half the days",2,3)))</f>
        <v>1</v>
      </c>
      <c r="M68" s="3" t="s">
        <v>86</v>
      </c>
      <c r="N68" s="4">
        <f>IF(M68="Not at all",0,IF(M68="Several days",1,IF(M68="More than half the days",2,3)))</f>
        <v>1</v>
      </c>
      <c r="O68" s="3" t="s">
        <v>104</v>
      </c>
      <c r="P68" s="5">
        <f>IF(O68="Not at all",0,IF(O68="Several days",1,IF(O68="More than half the days",2,3)))</f>
        <v>3</v>
      </c>
      <c r="Q68" s="3" t="s">
        <v>104</v>
      </c>
      <c r="R68" s="4">
        <f>IF(Q68="Not at all",0,IF(Q68="Several days",1,IF(Q68="More than half the days",2,3)))</f>
        <v>3</v>
      </c>
      <c r="S68" s="3" t="s">
        <v>104</v>
      </c>
      <c r="T68" s="4">
        <f>IF(S68="Not at all",0,IF(S68="Several days",1,IF(S68="More than half the days",2,3)))</f>
        <v>3</v>
      </c>
      <c r="U68" s="3" t="s">
        <v>86</v>
      </c>
      <c r="V68" s="4">
        <f>IF(U68="Not at all",0,IF(U68="Several days",1,IF(U68="More than half the days",2,3)))</f>
        <v>1</v>
      </c>
      <c r="W68" s="3" t="s">
        <v>86</v>
      </c>
      <c r="X68" s="4">
        <f>IF(W68="Not at all",0,IF(W68="Several days",1,IF(W68="More than half the days",2,3)))</f>
        <v>1</v>
      </c>
      <c r="Y68" s="3" t="s">
        <v>104</v>
      </c>
      <c r="Z68" s="4">
        <f>IF(Y68="Not at all",0,IF(Y68="Several days",1,IF(Y68="More than half the days",2,3)))</f>
        <v>3</v>
      </c>
      <c r="AA68" s="3" t="s">
        <v>85</v>
      </c>
      <c r="AB68" s="4">
        <f>IF(AA68="Not at all",0,IF(AA68="Several days",1,IF(AA68="More than half the days",2,3)))</f>
        <v>0</v>
      </c>
      <c r="AC68" s="4">
        <f>SUM(Form_Responses[[#This Row],[Score]],Form_Responses[[#This Row],[Score2]],Form_Responses[[#This Row],[Score3]],Form_Responses[[#This Row],[Score4]],Form_Responses[[#This Row],[Score5]],Form_Responses[[#This Row],[Score6]],Form_Responses[[#This Row],[Score7]],Form_Responses[[#This Row],[Score8]],Form_Responses[[#This Row],[Score9]])</f>
        <v>16</v>
      </c>
      <c r="AD68" s="4" t="str">
        <f>IF(Form_Responses[[#This Row],[Depression Score ]]&lt;=4,"Minimal symptoms",IF(Form_Responses[[#This Row],[Depression Score ]]&lt;=9,"Mild Depression",IF(Form_Responses[[#This Row],[Depression Score ]]&lt;=14,"Moderate depression",IF(Form_Responses[[#This Row],[Depression Score ]]&lt;=19,"Moderately severe depression","Severe depression"))))</f>
        <v xml:space="preserve">Moderately severe depression</v>
      </c>
      <c r="AE68" s="3" t="s">
        <v>86</v>
      </c>
      <c r="AF68" s="4">
        <f>IF(AE68="Not at all",0,IF(AE68="Several days",1,IF(AE68="More than half the days",2,3)))</f>
        <v>1</v>
      </c>
      <c r="AG68" s="3" t="s">
        <v>86</v>
      </c>
      <c r="AH68" s="4">
        <f>IF(AG68="Not at all",0,IF(AG68="Several days",1,IF(AG68="More than half the days",2,3)))</f>
        <v>1</v>
      </c>
      <c r="AI68" s="3" t="s">
        <v>104</v>
      </c>
      <c r="AJ68" s="4">
        <f>IF(AI68="Not at all",0,IF(AI68="Several days",1,IF(AI68="More than half the days",2,3)))</f>
        <v>3</v>
      </c>
      <c r="AK68" s="3" t="s">
        <v>86</v>
      </c>
      <c r="AL68" s="4">
        <f>IF(AK68="Not at all",0,IF(AK68="Several days",1,IF(AK68="More than half the days",2,3)))</f>
        <v>1</v>
      </c>
      <c r="AM68" s="3" t="s">
        <v>104</v>
      </c>
      <c r="AN68" s="4">
        <f>IF(AM68="Not at all",0,IF(AM68="Several days",1,IF(AM68="More than half the days",2,3)))</f>
        <v>3</v>
      </c>
      <c r="AO68" s="3" t="s">
        <v>87</v>
      </c>
      <c r="AP68" s="4">
        <f>IF(AO68="Not at all",0,IF(AO68="Several days",1,IF(AO68="More than half the days",2,3)))</f>
        <v>2</v>
      </c>
      <c r="AQ68" s="3" t="s">
        <v>86</v>
      </c>
      <c r="AR68" s="4">
        <f>IF(AQ68="Not at all",0,IF(AQ68="Several days",1,IF(AQ68="More than half the days",2,3)))</f>
        <v>1</v>
      </c>
      <c r="AS68" s="4">
        <f>SUM(Form_Responses[[#This Row],[Score16]],Form_Responses[[#This Row],[Score10]],Form_Responses[[#This Row],[Score11]],Form_Responses[[#This Row],[Score12]],Form_Responses[[#This Row],[Score13]],Form_Responses[[#This Row],[Score14]],Form_Responses[[#This Row],[Score15]])</f>
        <v>12</v>
      </c>
      <c r="AT68" s="4" t="str">
        <f>IF(Form_Responses[[#This Row],[Anxiety Score]]&lt;=4,"Minimal anxiety",IF(Form_Responses[[#This Row],[Anxiety Score]]&lt;=9,"Mild anxiety",IF(Form_Responses[[#This Row],[Anxiety Score]]&lt;=14,"Moderate anxiety","Severe anxiety")))</f>
        <v xml:space="preserve">Moderate anxiety</v>
      </c>
      <c r="AU68" s="3" t="s">
        <v>88</v>
      </c>
      <c r="AV68" s="4">
        <f>IF(Form_Responses[[#This Row],[1. In the last month, how often have you been upset because of unexpected situations related to academics, finances, or personal life?]]="Never",0,IF(Form_Responses[[#This Row],[1. In the last month, how often have you been upset because of unexpected situations related to academics, finances, or personal life?]]="Almost never",1,IF(Form_Responses[[#This Row],[1. In the last month, how often have you been upset because of unexpected situations related to academics, finances, or personal life?]]="Sometimes",2,IF(Form_Responses[[#This Row],[1. In the last month, how often have you been upset because of unexpected situations related to academics, finances, or personal life?]]="Fairly often",3,4))))</f>
        <v>3</v>
      </c>
      <c r="AW68" s="3" t="s">
        <v>89</v>
      </c>
      <c r="AX68" s="5">
        <f>IF(Form_Responses[[#This Row],[2. In the last month, how often have you felt unable to control important things in your academic or personal life?]]="Never",0,IF(Form_Responses[[#This Row],[2. In the last month, how often have you felt unable to control important things in your academic or personal life?]]="Almost never",1,IF(Form_Responses[[#This Row],[2. In the last month, how often have you felt unable to control important things in your academic or personal life?]]="Sometimes",2,IF(Form_Responses[[#This Row],[2. In the last month, how often have you felt unable to control important things in your academic or personal life?]]="Fairly often",3,4))))</f>
        <v>2</v>
      </c>
      <c r="AY68" s="3" t="s">
        <v>124</v>
      </c>
      <c r="AZ68" s="4">
        <f>IF(Form_Responses[[#This Row],[3. In the last month, how often have you felt nervous or stressed because of university responsibilities or personal challenges?]]="Never",0,IF(Form_Responses[[#This Row],[3. In the last month, how often have you felt nervous or stressed because of university responsibilities or personal challenges?]]="Almost never",1,IF(Form_Responses[[#This Row],[3. In the last month, how often have you felt nervous or stressed because of university responsibilities or personal challenges?]]="Sometimes",2,IF(Form_Responses[[#This Row],[3. In the last month, how often have you felt nervous or stressed because of university responsibilities or personal challenges?]]="Fairly often",3,4))))</f>
        <v>0</v>
      </c>
      <c r="BA68" s="3" t="s">
        <v>90</v>
      </c>
      <c r="BB68" s="4">
        <f>IF(Form_Responses[[#This Row],[4. In the last month, how often have you felt confident about your ability to handle academic or personal problems?]]="Never",4,IF(Form_Responses[[#This Row],[4. In the last month, how often have you felt confident about your ability to handle academic or personal problems?]]="Almost never",3,IF(Form_Responses[[#This Row],[4. In the last month, how often have you felt confident about your ability to handle academic or personal problems?]]="Sometimes",2,IF(Form_Responses[[#This Row],[4. In the last month, how often have you felt confident about your ability to handle academic or personal problems?]]="Fairly often",1,0))))</f>
        <v>3</v>
      </c>
      <c r="BC68" s="3" t="s">
        <v>89</v>
      </c>
      <c r="BD68" s="4">
        <f>IF(Form_Responses[[#This Row],[5. In the last month, how often have you felt that things were going well in your studies or personal life?]]="Never",4,IF(Form_Responses[[#This Row],[5. In the last month, how often have you felt that things were going well in your studies or personal life?]]="Almost never",3,IF(Form_Responses[[#This Row],[5. In the last month, how often have you felt that things were going well in your studies or personal life?]]="Sometimes",2,IF(Form_Responses[[#This Row],[5. In the last month, how often have you felt that things were going well in your studies or personal life?]]="Fairly often",1,0))))</f>
        <v>2</v>
      </c>
      <c r="BE68" s="3" t="s">
        <v>90</v>
      </c>
      <c r="BF68" s="4">
        <f>IF(Form_Responses[[#This Row],[6. In the last month, how often have you felt unable to cope with coursework, deadlines, or daily responsibilities?]]="Never",0,IF(Form_Responses[[#This Row],[6. In the last month, how often have you felt unable to cope with coursework, deadlines, or daily responsibilities?]]="Almost never",1,IF(Form_Responses[[#This Row],[6. In the last month, how often have you felt unable to cope with coursework, deadlines, or daily responsibilities?]]="Sometimes",2,IF(Form_Responses[[#This Row],[6. In the last month, how often have you felt unable to cope with coursework, deadlines, or daily responsibilities?]]="Fairly often",3,4))))</f>
        <v>1</v>
      </c>
      <c r="BG68" s="3" t="s">
        <v>89</v>
      </c>
      <c r="BH68" s="4">
        <f>IF(Form_Responses[[#This Row],[7. In the last month, how often have you been able to control irritations or frustrations in your life?]]="Never",4,IF(Form_Responses[[#This Row],[7. In the last month, how often have you been able to control irritations or frustrations in your life?]]="Almost never",3,IF(Form_Responses[[#This Row],[7. In the last month, how often have you been able to control irritations or frustrations in your life?]]="Sometimes",2,IF(Form_Responses[[#This Row],[7. In the last month, how often have you been able to control irritations or frustrations in your life?]]="Fairly often",1,0))))</f>
        <v>2</v>
      </c>
      <c r="BI68" s="3" t="s">
        <v>105</v>
      </c>
      <c r="BJ68" s="4">
        <f>IF(Form_Responses[[#This Row],[8. In the last month, how often have you felt that you were managing your academic and personal responsibilities well?]]="Never",4,IF(Form_Responses[[#This Row],[8. In the last month, how often have you felt that you were managing your academic and personal responsibilities well?]]="Almost never",3,IF(Form_Responses[[#This Row],[8. In the last month, how often have you felt that you were managing your academic and personal responsibilities well?]]="Sometimes",2,IF(Form_Responses[[#This Row],[8. In the last month, how often have you felt that you were managing your academic and personal responsibilities well?]]="Fairly often",1,0))))</f>
        <v>0</v>
      </c>
      <c r="BK68" s="3" t="s">
        <v>89</v>
      </c>
      <c r="BL68" s="5">
        <f>IF(Form_Responses[[#This Row],[9. In the last month, how often have you been angered or frustrated by situations outside your control, such as finances, academics, or relationships?]]="Never",0,IF(Form_Responses[[#This Row],[9. In the last month, how often have you been angered or frustrated by situations outside your control, such as finances, academics, or relationships?]]="Almost never",1,IF(Form_Responses[[#This Row],[9. In the last month, how often have you been angered or frustrated by situations outside your control, such as finances, academics, or relationships?]]="Sometimes",2,IF(Form_Responses[[#This Row],[9. In the last month, how often have you been angered or frustrated by situations outside your control, such as finances, academics, or relationships?]]="Fairly often",3,4))))</f>
        <v>2</v>
      </c>
      <c r="BM68" s="3" t="s">
        <v>90</v>
      </c>
      <c r="BN68" s="4">
        <f>IF(Form_Responses[[#This Row],[10. In the last month, how often have you felt that difficulties were piling up so much that you could not overcome them?]]="Never",0,IF(Form_Responses[[#This Row],[10. In the last month, how often have you felt that difficulties were piling up so much that you could not overcome them?]]="Almost never",1,IF(Form_Responses[[#This Row],[10. In the last month, how often have you felt that difficulties were piling up so much that you could not overcome them?]]="Sometimes",2,IF(Form_Responses[[#This Row],[10. In the last month, how often have you felt that difficulties were piling up so much that you could not overcome them?]]="Fairly often",3,4))))</f>
        <v>1</v>
      </c>
      <c r="BO68" s="4">
        <f>SUM(Form_Responses[[#This Row],[Score17]],Form_Responses[[#This Row],[Score18]],Form_Responses[[#This Row],[Score19]],Form_Responses[[#This Row],[Score20]],Form_Responses[[#This Row],[Score21]],Form_Responses[[#This Row],[Score22]],Form_Responses[[#This Row],[Score23]],Form_Responses[[#This Row],[Score24]],Form_Responses[[#This Row],[Score25]],Form_Responses[[#This Row],[Score26]])</f>
        <v>16</v>
      </c>
      <c r="BP68" s="4" t="str">
        <f>IF(Form_Responses[[#This Row],[Anxiety Score2]]&lt;=13,"Low stress",IF(Form_Responses[[#This Row],[Anxiety Score2]]&lt;=26,"Moderate stress","High stress"))</f>
        <v xml:space="preserve">Moderate stress</v>
      </c>
      <c r="BQ68" s="3" t="s">
        <v>91</v>
      </c>
      <c r="BR68" s="3" t="s">
        <v>91</v>
      </c>
      <c r="BS68" s="3" t="s">
        <v>107</v>
      </c>
      <c r="BT68" s="3" t="s">
        <v>341</v>
      </c>
      <c r="BU68" s="3" t="s">
        <v>91</v>
      </c>
      <c r="BV68" s="3" t="s">
        <v>408</v>
      </c>
      <c r="BW68" s="3" t="s">
        <v>409</v>
      </c>
      <c r="BX68" s="3" t="s">
        <v>410</v>
      </c>
    </row>
    <row r="69" ht="22.5" customHeight="1">
      <c r="A69" s="2">
        <v>46202.911415972223</v>
      </c>
      <c r="B69" s="3" t="s">
        <v>76</v>
      </c>
      <c r="C69" s="3" t="s">
        <v>77</v>
      </c>
      <c r="D69" s="3" t="s">
        <v>112</v>
      </c>
      <c r="E69" s="3" t="s">
        <v>357</v>
      </c>
      <c r="F69" s="3" t="s">
        <v>411</v>
      </c>
      <c r="G69" s="3" t="s">
        <v>100</v>
      </c>
      <c r="H69" s="3" t="s">
        <v>101</v>
      </c>
      <c r="I69" s="3" t="s">
        <v>83</v>
      </c>
      <c r="J69" s="3" t="s">
        <v>160</v>
      </c>
      <c r="K69" s="3" t="s">
        <v>85</v>
      </c>
      <c r="L69" s="4">
        <f>IF(K69="Not at all",0,IF(K69="Several days",1,IF(K69="More than half the days",2,3)))</f>
        <v>0</v>
      </c>
      <c r="M69" s="3" t="s">
        <v>104</v>
      </c>
      <c r="N69" s="4">
        <f>IF(M69="Not at all",0,IF(M69="Several days",1,IF(M69="More than half the days",2,3)))</f>
        <v>3</v>
      </c>
      <c r="O69" s="3" t="s">
        <v>104</v>
      </c>
      <c r="P69" s="5">
        <f>IF(O69="Not at all",0,IF(O69="Several days",1,IF(O69="More than half the days",2,3)))</f>
        <v>3</v>
      </c>
      <c r="Q69" s="3" t="s">
        <v>104</v>
      </c>
      <c r="R69" s="4">
        <f>IF(Q69="Not at all",0,IF(Q69="Several days",1,IF(Q69="More than half the days",2,3)))</f>
        <v>3</v>
      </c>
      <c r="S69" s="3" t="s">
        <v>86</v>
      </c>
      <c r="T69" s="4">
        <f>IF(S69="Not at all",0,IF(S69="Several days",1,IF(S69="More than half the days",2,3)))</f>
        <v>1</v>
      </c>
      <c r="U69" s="3" t="s">
        <v>104</v>
      </c>
      <c r="V69" s="4">
        <f>IF(U69="Not at all",0,IF(U69="Several days",1,IF(U69="More than half the days",2,3)))</f>
        <v>3</v>
      </c>
      <c r="W69" s="3" t="s">
        <v>104</v>
      </c>
      <c r="X69" s="4">
        <f>IF(W69="Not at all",0,IF(W69="Several days",1,IF(W69="More than half the days",2,3)))</f>
        <v>3</v>
      </c>
      <c r="Y69" s="3" t="s">
        <v>104</v>
      </c>
      <c r="Z69" s="4">
        <f>IF(Y69="Not at all",0,IF(Y69="Several days",1,IF(Y69="More than half the days",2,3)))</f>
        <v>3</v>
      </c>
      <c r="AA69" s="3" t="s">
        <v>104</v>
      </c>
      <c r="AB69" s="4">
        <f>IF(AA69="Not at all",0,IF(AA69="Several days",1,IF(AA69="More than half the days",2,3)))</f>
        <v>3</v>
      </c>
      <c r="AC69" s="4">
        <f>SUM(Form_Responses[[#This Row],[Score]],Form_Responses[[#This Row],[Score2]],Form_Responses[[#This Row],[Score3]],Form_Responses[[#This Row],[Score4]],Form_Responses[[#This Row],[Score5]],Form_Responses[[#This Row],[Score6]],Form_Responses[[#This Row],[Score7]],Form_Responses[[#This Row],[Score8]],Form_Responses[[#This Row],[Score9]])</f>
        <v>22</v>
      </c>
      <c r="AD69" s="4" t="str">
        <f>IF(Form_Responses[[#This Row],[Depression Score ]]&lt;=4,"Minimal symptoms",IF(Form_Responses[[#This Row],[Depression Score ]]&lt;=9,"Mild Depression",IF(Form_Responses[[#This Row],[Depression Score ]]&lt;=14,"Moderate depression",IF(Form_Responses[[#This Row],[Depression Score ]]&lt;=19,"Moderately severe depression","Severe depression"))))</f>
        <v xml:space="preserve">Severe depression</v>
      </c>
      <c r="AE69" s="3" t="s">
        <v>115</v>
      </c>
      <c r="AF69" s="4">
        <f>IF(AE69="Not at all",0,IF(AE69="Several days",1,IF(AE69="More than half the days",2,3)))</f>
        <v>3</v>
      </c>
      <c r="AG69" s="3" t="s">
        <v>104</v>
      </c>
      <c r="AH69" s="4">
        <f>IF(AG69="Not at all",0,IF(AG69="Several days",1,IF(AG69="More than half the days",2,3)))</f>
        <v>3</v>
      </c>
      <c r="AI69" s="3" t="s">
        <v>104</v>
      </c>
      <c r="AJ69" s="4">
        <f>IF(AI69="Not at all",0,IF(AI69="Several days",1,IF(AI69="More than half the days",2,3)))</f>
        <v>3</v>
      </c>
      <c r="AK69" s="3" t="s">
        <v>104</v>
      </c>
      <c r="AL69" s="4">
        <f>IF(AK69="Not at all",0,IF(AK69="Several days",1,IF(AK69="More than half the days",2,3)))</f>
        <v>3</v>
      </c>
      <c r="AM69" s="3" t="s">
        <v>104</v>
      </c>
      <c r="AN69" s="4">
        <f>IF(AM69="Not at all",0,IF(AM69="Several days",1,IF(AM69="More than half the days",2,3)))</f>
        <v>3</v>
      </c>
      <c r="AO69" s="3" t="s">
        <v>104</v>
      </c>
      <c r="AP69" s="4">
        <f>IF(AO69="Not at all",0,IF(AO69="Several days",1,IF(AO69="More than half the days",2,3)))</f>
        <v>3</v>
      </c>
      <c r="AQ69" s="3" t="s">
        <v>104</v>
      </c>
      <c r="AR69" s="4">
        <f>IF(AQ69="Not at all",0,IF(AQ69="Several days",1,IF(AQ69="More than half the days",2,3)))</f>
        <v>3</v>
      </c>
      <c r="AS69" s="4">
        <f>SUM(Form_Responses[[#This Row],[Score16]],Form_Responses[[#This Row],[Score10]],Form_Responses[[#This Row],[Score11]],Form_Responses[[#This Row],[Score12]],Form_Responses[[#This Row],[Score13]],Form_Responses[[#This Row],[Score14]],Form_Responses[[#This Row],[Score15]])</f>
        <v>21</v>
      </c>
      <c r="AT69" s="4" t="str">
        <f>IF(Form_Responses[[#This Row],[Anxiety Score]]&lt;=4,"Minimal anxiety",IF(Form_Responses[[#This Row],[Anxiety Score]]&lt;=9,"Mild anxiety",IF(Form_Responses[[#This Row],[Anxiety Score]]&lt;=14,"Moderate anxiety","Severe anxiety")))</f>
        <v xml:space="preserve">Severe anxiety</v>
      </c>
      <c r="AU69" s="3" t="s">
        <v>105</v>
      </c>
      <c r="AV69" s="4">
        <f>IF(Form_Responses[[#This Row],[1. In the last month, how often have you been upset because of unexpected situations related to academics, finances, or personal life?]]="Never",0,IF(Form_Responses[[#This Row],[1. In the last month, how often have you been upset because of unexpected situations related to academics, finances, or personal life?]]="Almost never",1,IF(Form_Responses[[#This Row],[1. In the last month, how often have you been upset because of unexpected situations related to academics, finances, or personal life?]]="Sometimes",2,IF(Form_Responses[[#This Row],[1. In the last month, how often have you been upset because of unexpected situations related to academics, finances, or personal life?]]="Fairly often",3,4))))</f>
        <v>4</v>
      </c>
      <c r="AW69" s="3" t="s">
        <v>105</v>
      </c>
      <c r="AX69" s="5">
        <f>IF(Form_Responses[[#This Row],[2. In the last month, how often have you felt unable to control important things in your academic or personal life?]]="Never",0,IF(Form_Responses[[#This Row],[2. In the last month, how often have you felt unable to control important things in your academic or personal life?]]="Almost never",1,IF(Form_Responses[[#This Row],[2. In the last month, how often have you felt unable to control important things in your academic or personal life?]]="Sometimes",2,IF(Form_Responses[[#This Row],[2. In the last month, how often have you felt unable to control important things in your academic or personal life?]]="Fairly often",3,4))))</f>
        <v>4</v>
      </c>
      <c r="AY69" s="3" t="s">
        <v>105</v>
      </c>
      <c r="AZ69" s="4">
        <f>IF(Form_Responses[[#This Row],[3. In the last month, how often have you felt nervous or stressed because of university responsibilities or personal challenges?]]="Never",0,IF(Form_Responses[[#This Row],[3. In the last month, how often have you felt nervous or stressed because of university responsibilities or personal challenges?]]="Almost never",1,IF(Form_Responses[[#This Row],[3. In the last month, how often have you felt nervous or stressed because of university responsibilities or personal challenges?]]="Sometimes",2,IF(Form_Responses[[#This Row],[3. In the last month, how often have you felt nervous or stressed because of university responsibilities or personal challenges?]]="Fairly often",3,4))))</f>
        <v>4</v>
      </c>
      <c r="BA69" s="3" t="s">
        <v>124</v>
      </c>
      <c r="BB69" s="4">
        <f>IF(Form_Responses[[#This Row],[4. In the last month, how often have you felt confident about your ability to handle academic or personal problems?]]="Never",4,IF(Form_Responses[[#This Row],[4. In the last month, how often have you felt confident about your ability to handle academic or personal problems?]]="Almost never",3,IF(Form_Responses[[#This Row],[4. In the last month, how often have you felt confident about your ability to handle academic or personal problems?]]="Sometimes",2,IF(Form_Responses[[#This Row],[4. In the last month, how often have you felt confident about your ability to handle academic or personal problems?]]="Fairly often",1,0))))</f>
        <v>4</v>
      </c>
      <c r="BC69" s="3" t="s">
        <v>124</v>
      </c>
      <c r="BD69" s="4">
        <f>IF(Form_Responses[[#This Row],[5. In the last month, how often have you felt that things were going well in your studies or personal life?]]="Never",4,IF(Form_Responses[[#This Row],[5. In the last month, how often have you felt that things were going well in your studies or personal life?]]="Almost never",3,IF(Form_Responses[[#This Row],[5. In the last month, how often have you felt that things were going well in your studies or personal life?]]="Sometimes",2,IF(Form_Responses[[#This Row],[5. In the last month, how often have you felt that things were going well in your studies or personal life?]]="Fairly often",1,0))))</f>
        <v>4</v>
      </c>
      <c r="BE69" s="3" t="s">
        <v>105</v>
      </c>
      <c r="BF69" s="4">
        <f>IF(Form_Responses[[#This Row],[6. In the last month, how often have you felt unable to cope with coursework, deadlines, or daily responsibilities?]]="Never",0,IF(Form_Responses[[#This Row],[6. In the last month, how often have you felt unable to cope with coursework, deadlines, or daily responsibilities?]]="Almost never",1,IF(Form_Responses[[#This Row],[6. In the last month, how often have you felt unable to cope with coursework, deadlines, or daily responsibilities?]]="Sometimes",2,IF(Form_Responses[[#This Row],[6. In the last month, how often have you felt unable to cope with coursework, deadlines, or daily responsibilities?]]="Fairly often",3,4))))</f>
        <v>4</v>
      </c>
      <c r="BG69" s="3" t="s">
        <v>89</v>
      </c>
      <c r="BH69" s="4">
        <f>IF(Form_Responses[[#This Row],[7. In the last month, how often have you been able to control irritations or frustrations in your life?]]="Never",4,IF(Form_Responses[[#This Row],[7. In the last month, how often have you been able to control irritations or frustrations in your life?]]="Almost never",3,IF(Form_Responses[[#This Row],[7. In the last month, how often have you been able to control irritations or frustrations in your life?]]="Sometimes",2,IF(Form_Responses[[#This Row],[7. In the last month, how often have you been able to control irritations or frustrations in your life?]]="Fairly often",1,0))))</f>
        <v>2</v>
      </c>
      <c r="BI69" s="3" t="s">
        <v>124</v>
      </c>
      <c r="BJ69" s="4">
        <f>IF(Form_Responses[[#This Row],[8. In the last month, how often have you felt that you were managing your academic and personal responsibilities well?]]="Never",4,IF(Form_Responses[[#This Row],[8. In the last month, how often have you felt that you were managing your academic and personal responsibilities well?]]="Almost never",3,IF(Form_Responses[[#This Row],[8. In the last month, how often have you felt that you were managing your academic and personal responsibilities well?]]="Sometimes",2,IF(Form_Responses[[#This Row],[8. In the last month, how often have you felt that you were managing your academic and personal responsibilities well?]]="Fairly often",1,0))))</f>
        <v>4</v>
      </c>
      <c r="BK69" s="3" t="s">
        <v>105</v>
      </c>
      <c r="BL69" s="5">
        <f>IF(Form_Responses[[#This Row],[9. In the last month, how often have you been angered or frustrated by situations outside your control, such as finances, academics, or relationships?]]="Never",0,IF(Form_Responses[[#This Row],[9. In the last month, how often have you been angered or frustrated by situations outside your control, such as finances, academics, or relationships?]]="Almost never",1,IF(Form_Responses[[#This Row],[9. In the last month, how often have you been angered or frustrated by situations outside your control, such as finances, academics, or relationships?]]="Sometimes",2,IF(Form_Responses[[#This Row],[9. In the last month, how often have you been angered or frustrated by situations outside your control, such as finances, academics, or relationships?]]="Fairly often",3,4))))</f>
        <v>4</v>
      </c>
      <c r="BM69" s="3" t="s">
        <v>105</v>
      </c>
      <c r="BN69" s="4">
        <f>IF(Form_Responses[[#This Row],[10. In the last month, how often have you felt that difficulties were piling up so much that you could not overcome them?]]="Never",0,IF(Form_Responses[[#This Row],[10. In the last month, how often have you felt that difficulties were piling up so much that you could not overcome them?]]="Almost never",1,IF(Form_Responses[[#This Row],[10. In the last month, how often have you felt that difficulties were piling up so much that you could not overcome them?]]="Sometimes",2,IF(Form_Responses[[#This Row],[10. In the last month, how often have you felt that difficulties were piling up so much that you could not overcome them?]]="Fairly often",3,4))))</f>
        <v>4</v>
      </c>
      <c r="BO69" s="4">
        <f>SUM(Form_Responses[[#This Row],[Score17]],Form_Responses[[#This Row],[Score18]],Form_Responses[[#This Row],[Score19]],Form_Responses[[#This Row],[Score20]],Form_Responses[[#This Row],[Score21]],Form_Responses[[#This Row],[Score22]],Form_Responses[[#This Row],[Score23]],Form_Responses[[#This Row],[Score24]],Form_Responses[[#This Row],[Score25]],Form_Responses[[#This Row],[Score26]])</f>
        <v>38</v>
      </c>
      <c r="BP69" s="4" t="str">
        <f>IF(Form_Responses[[#This Row],[Anxiety Score2]]&lt;=13,"Low stress",IF(Form_Responses[[#This Row],[Anxiety Score2]]&lt;=26,"Moderate stress","High stress"))</f>
        <v xml:space="preserve">High stress</v>
      </c>
      <c r="BQ69" s="3" t="s">
        <v>91</v>
      </c>
      <c r="BR69" s="3" t="s">
        <v>106</v>
      </c>
      <c r="BS69" s="3" t="s">
        <v>174</v>
      </c>
      <c r="BT69" s="3" t="s">
        <v>108</v>
      </c>
      <c r="BU69" s="3" t="s">
        <v>106</v>
      </c>
      <c r="BV69" s="3" t="s">
        <v>412</v>
      </c>
      <c r="BW69" s="3" t="s">
        <v>413</v>
      </c>
      <c r="BX69" s="3" t="s">
        <v>414</v>
      </c>
    </row>
    <row r="70" ht="22.5" customHeight="1">
      <c r="A70" s="2">
        <v>46202.955709814814</v>
      </c>
      <c r="B70" s="3" t="s">
        <v>76</v>
      </c>
      <c r="C70" s="3" t="s">
        <v>77</v>
      </c>
      <c r="D70" s="3" t="s">
        <v>112</v>
      </c>
      <c r="E70" s="3" t="s">
        <v>197</v>
      </c>
      <c r="F70" s="3" t="s">
        <v>415</v>
      </c>
      <c r="G70" s="3" t="s">
        <v>100</v>
      </c>
      <c r="H70" s="3" t="s">
        <v>101</v>
      </c>
      <c r="I70" s="3" t="s">
        <v>83</v>
      </c>
      <c r="J70" s="3" t="s">
        <v>84</v>
      </c>
      <c r="K70" s="3" t="s">
        <v>85</v>
      </c>
      <c r="L70" s="4">
        <f>IF(K70="Not at all",0,IF(K70="Several days",1,IF(K70="More than half the days",2,3)))</f>
        <v>0</v>
      </c>
      <c r="M70" s="3" t="s">
        <v>85</v>
      </c>
      <c r="N70" s="4">
        <f>IF(M70="Not at all",0,IF(M70="Several days",1,IF(M70="More than half the days",2,3)))</f>
        <v>0</v>
      </c>
      <c r="O70" s="3" t="s">
        <v>86</v>
      </c>
      <c r="P70" s="5">
        <f>IF(O70="Not at all",0,IF(O70="Several days",1,IF(O70="More than half the days",2,3)))</f>
        <v>1</v>
      </c>
      <c r="Q70" s="3" t="s">
        <v>86</v>
      </c>
      <c r="R70" s="4">
        <f>IF(Q70="Not at all",0,IF(Q70="Several days",1,IF(Q70="More than half the days",2,3)))</f>
        <v>1</v>
      </c>
      <c r="S70" s="3" t="s">
        <v>86</v>
      </c>
      <c r="T70" s="4">
        <f>IF(S70="Not at all",0,IF(S70="Several days",1,IF(S70="More than half the days",2,3)))</f>
        <v>1</v>
      </c>
      <c r="U70" s="3" t="s">
        <v>85</v>
      </c>
      <c r="V70" s="4">
        <f>IF(U70="Not at all",0,IF(U70="Several days",1,IF(U70="More than half the days",2,3)))</f>
        <v>0</v>
      </c>
      <c r="W70" s="3" t="s">
        <v>86</v>
      </c>
      <c r="X70" s="4">
        <f>IF(W70="Not at all",0,IF(W70="Several days",1,IF(W70="More than half the days",2,3)))</f>
        <v>1</v>
      </c>
      <c r="Y70" s="3" t="s">
        <v>86</v>
      </c>
      <c r="Z70" s="4">
        <f>IF(Y70="Not at all",0,IF(Y70="Several days",1,IF(Y70="More than half the days",2,3)))</f>
        <v>1</v>
      </c>
      <c r="AA70" s="3" t="s">
        <v>85</v>
      </c>
      <c r="AB70" s="4">
        <f>IF(AA70="Not at all",0,IF(AA70="Several days",1,IF(AA70="More than half the days",2,3)))</f>
        <v>0</v>
      </c>
      <c r="AC70" s="4">
        <f>SUM(Form_Responses[[#This Row],[Score]],Form_Responses[[#This Row],[Score2]],Form_Responses[[#This Row],[Score3]],Form_Responses[[#This Row],[Score4]],Form_Responses[[#This Row],[Score5]],Form_Responses[[#This Row],[Score6]],Form_Responses[[#This Row],[Score7]],Form_Responses[[#This Row],[Score8]],Form_Responses[[#This Row],[Score9]])</f>
        <v>5</v>
      </c>
      <c r="AD70" s="4" t="str">
        <f>IF(Form_Responses[[#This Row],[Depression Score ]]&lt;=4,"Minimal symptoms",IF(Form_Responses[[#This Row],[Depression Score ]]&lt;=9,"Mild Depression",IF(Form_Responses[[#This Row],[Depression Score ]]&lt;=14,"Moderate depression",IF(Form_Responses[[#This Row],[Depression Score ]]&lt;=19,"Moderately severe depression","Severe depression"))))</f>
        <v xml:space="preserve">Mild Depression</v>
      </c>
      <c r="AE70" s="3" t="s">
        <v>86</v>
      </c>
      <c r="AF70" s="4">
        <f>IF(AE70="Not at all",0,IF(AE70="Several days",1,IF(AE70="More than half the days",2,3)))</f>
        <v>1</v>
      </c>
      <c r="AG70" s="3" t="s">
        <v>86</v>
      </c>
      <c r="AH70" s="4">
        <f>IF(AG70="Not at all",0,IF(AG70="Several days",1,IF(AG70="More than half the days",2,3)))</f>
        <v>1</v>
      </c>
      <c r="AI70" s="3" t="s">
        <v>86</v>
      </c>
      <c r="AJ70" s="4">
        <f>IF(AI70="Not at all",0,IF(AI70="Several days",1,IF(AI70="More than half the days",2,3)))</f>
        <v>1</v>
      </c>
      <c r="AK70" s="3" t="s">
        <v>86</v>
      </c>
      <c r="AL70" s="4">
        <f>IF(AK70="Not at all",0,IF(AK70="Several days",1,IF(AK70="More than half the days",2,3)))</f>
        <v>1</v>
      </c>
      <c r="AM70" s="3" t="s">
        <v>85</v>
      </c>
      <c r="AN70" s="4">
        <f>IF(AM70="Not at all",0,IF(AM70="Several days",1,IF(AM70="More than half the days",2,3)))</f>
        <v>0</v>
      </c>
      <c r="AO70" s="3" t="s">
        <v>86</v>
      </c>
      <c r="AP70" s="4">
        <f>IF(AO70="Not at all",0,IF(AO70="Several days",1,IF(AO70="More than half the days",2,3)))</f>
        <v>1</v>
      </c>
      <c r="AQ70" s="3" t="s">
        <v>86</v>
      </c>
      <c r="AR70" s="4">
        <f>IF(AQ70="Not at all",0,IF(AQ70="Several days",1,IF(AQ70="More than half the days",2,3)))</f>
        <v>1</v>
      </c>
      <c r="AS70" s="4">
        <f>SUM(Form_Responses[[#This Row],[Score16]],Form_Responses[[#This Row],[Score10]],Form_Responses[[#This Row],[Score11]],Form_Responses[[#This Row],[Score12]],Form_Responses[[#This Row],[Score13]],Form_Responses[[#This Row],[Score14]],Form_Responses[[#This Row],[Score15]])</f>
        <v>6</v>
      </c>
      <c r="AT70" s="4" t="str">
        <f>IF(Form_Responses[[#This Row],[Anxiety Score]]&lt;=4,"Minimal anxiety",IF(Form_Responses[[#This Row],[Anxiety Score]]&lt;=9,"Mild anxiety",IF(Form_Responses[[#This Row],[Anxiety Score]]&lt;=14,"Moderate anxiety","Severe anxiety")))</f>
        <v xml:space="preserve">Mild anxiety</v>
      </c>
      <c r="AU70" s="3" t="s">
        <v>89</v>
      </c>
      <c r="AV70" s="4">
        <f>IF(Form_Responses[[#This Row],[1. In the last month, how often have you been upset because of unexpected situations related to academics, finances, or personal life?]]="Never",0,IF(Form_Responses[[#This Row],[1. In the last month, how often have you been upset because of unexpected situations related to academics, finances, or personal life?]]="Almost never",1,IF(Form_Responses[[#This Row],[1. In the last month, how often have you been upset because of unexpected situations related to academics, finances, or personal life?]]="Sometimes",2,IF(Form_Responses[[#This Row],[1. In the last month, how often have you been upset because of unexpected situations related to academics, finances, or personal life?]]="Fairly often",3,4))))</f>
        <v>2</v>
      </c>
      <c r="AW70" s="3" t="s">
        <v>89</v>
      </c>
      <c r="AX70" s="5">
        <f>IF(Form_Responses[[#This Row],[2. In the last month, how often have you felt unable to control important things in your academic or personal life?]]="Never",0,IF(Form_Responses[[#This Row],[2. In the last month, how often have you felt unable to control important things in your academic or personal life?]]="Almost never",1,IF(Form_Responses[[#This Row],[2. In the last month, how often have you felt unable to control important things in your academic or personal life?]]="Sometimes",2,IF(Form_Responses[[#This Row],[2. In the last month, how often have you felt unable to control important things in your academic or personal life?]]="Fairly often",3,4))))</f>
        <v>2</v>
      </c>
      <c r="AY70" s="3" t="s">
        <v>89</v>
      </c>
      <c r="AZ70" s="4">
        <f>IF(Form_Responses[[#This Row],[3. In the last month, how often have you felt nervous or stressed because of university responsibilities or personal challenges?]]="Never",0,IF(Form_Responses[[#This Row],[3. In the last month, how often have you felt nervous or stressed because of university responsibilities or personal challenges?]]="Almost never",1,IF(Form_Responses[[#This Row],[3. In the last month, how often have you felt nervous or stressed because of university responsibilities or personal challenges?]]="Sometimes",2,IF(Form_Responses[[#This Row],[3. In the last month, how often have you felt nervous or stressed because of university responsibilities or personal challenges?]]="Fairly often",3,4))))</f>
        <v>2</v>
      </c>
      <c r="BA70" s="3" t="s">
        <v>89</v>
      </c>
      <c r="BB70" s="4">
        <f>IF(Form_Responses[[#This Row],[4. In the last month, how often have you felt confident about your ability to handle academic or personal problems?]]="Never",4,IF(Form_Responses[[#This Row],[4. In the last month, how often have you felt confident about your ability to handle academic or personal problems?]]="Almost never",3,IF(Form_Responses[[#This Row],[4. In the last month, how often have you felt confident about your ability to handle academic or personal problems?]]="Sometimes",2,IF(Form_Responses[[#This Row],[4. In the last month, how often have you felt confident about your ability to handle academic or personal problems?]]="Fairly often",1,0))))</f>
        <v>2</v>
      </c>
      <c r="BC70" s="3" t="s">
        <v>88</v>
      </c>
      <c r="BD70" s="4">
        <f>IF(Form_Responses[[#This Row],[5. In the last month, how often have you felt that things were going well in your studies or personal life?]]="Never",4,IF(Form_Responses[[#This Row],[5. In the last month, how often have you felt that things were going well in your studies or personal life?]]="Almost never",3,IF(Form_Responses[[#This Row],[5. In the last month, how often have you felt that things were going well in your studies or personal life?]]="Sometimes",2,IF(Form_Responses[[#This Row],[5. In the last month, how often have you felt that things were going well in your studies or personal life?]]="Fairly often",1,0))))</f>
        <v>1</v>
      </c>
      <c r="BE70" s="3" t="s">
        <v>124</v>
      </c>
      <c r="BF70" s="4">
        <f>IF(Form_Responses[[#This Row],[6. In the last month, how often have you felt unable to cope with coursework, deadlines, or daily responsibilities?]]="Never",0,IF(Form_Responses[[#This Row],[6. In the last month, how often have you felt unable to cope with coursework, deadlines, or daily responsibilities?]]="Almost never",1,IF(Form_Responses[[#This Row],[6. In the last month, how often have you felt unable to cope with coursework, deadlines, or daily responsibilities?]]="Sometimes",2,IF(Form_Responses[[#This Row],[6. In the last month, how often have you felt unable to cope with coursework, deadlines, or daily responsibilities?]]="Fairly often",3,4))))</f>
        <v>0</v>
      </c>
      <c r="BG70" s="3" t="s">
        <v>89</v>
      </c>
      <c r="BH70" s="4">
        <f>IF(Form_Responses[[#This Row],[7. In the last month, how often have you been able to control irritations or frustrations in your life?]]="Never",4,IF(Form_Responses[[#This Row],[7. In the last month, how often have you been able to control irritations or frustrations in your life?]]="Almost never",3,IF(Form_Responses[[#This Row],[7. In the last month, how often have you been able to control irritations or frustrations in your life?]]="Sometimes",2,IF(Form_Responses[[#This Row],[7. In the last month, how often have you been able to control irritations or frustrations in your life?]]="Fairly often",1,0))))</f>
        <v>2</v>
      </c>
      <c r="BI70" s="3" t="s">
        <v>88</v>
      </c>
      <c r="BJ70" s="4">
        <f>IF(Form_Responses[[#This Row],[8. In the last month, how often have you felt that you were managing your academic and personal responsibilities well?]]="Never",4,IF(Form_Responses[[#This Row],[8. In the last month, how often have you felt that you were managing your academic and personal responsibilities well?]]="Almost never",3,IF(Form_Responses[[#This Row],[8. In the last month, how often have you felt that you were managing your academic and personal responsibilities well?]]="Sometimes",2,IF(Form_Responses[[#This Row],[8. In the last month, how often have you felt that you were managing your academic and personal responsibilities well?]]="Fairly often",1,0))))</f>
        <v>1</v>
      </c>
      <c r="BK70" s="3" t="s">
        <v>89</v>
      </c>
      <c r="BL70" s="5">
        <f>IF(Form_Responses[[#This Row],[9. In the last month, how often have you been angered or frustrated by situations outside your control, such as finances, academics, or relationships?]]="Never",0,IF(Form_Responses[[#This Row],[9. In the last month, how often have you been angered or frustrated by situations outside your control, such as finances, academics, or relationships?]]="Almost never",1,IF(Form_Responses[[#This Row],[9. In the last month, how often have you been angered or frustrated by situations outside your control, such as finances, academics, or relationships?]]="Sometimes",2,IF(Form_Responses[[#This Row],[9. In the last month, how often have you been angered or frustrated by situations outside your control, such as finances, academics, or relationships?]]="Fairly often",3,4))))</f>
        <v>2</v>
      </c>
      <c r="BM70" s="3" t="s">
        <v>89</v>
      </c>
      <c r="BN70" s="4">
        <f>IF(Form_Responses[[#This Row],[10. In the last month, how often have you felt that difficulties were piling up so much that you could not overcome them?]]="Never",0,IF(Form_Responses[[#This Row],[10. In the last month, how often have you felt that difficulties were piling up so much that you could not overcome them?]]="Almost never",1,IF(Form_Responses[[#This Row],[10. In the last month, how often have you felt that difficulties were piling up so much that you could not overcome them?]]="Sometimes",2,IF(Form_Responses[[#This Row],[10. In the last month, how often have you felt that difficulties were piling up so much that you could not overcome them?]]="Fairly often",3,4))))</f>
        <v>2</v>
      </c>
      <c r="BO70" s="4">
        <f>SUM(Form_Responses[[#This Row],[Score17]],Form_Responses[[#This Row],[Score18]],Form_Responses[[#This Row],[Score19]],Form_Responses[[#This Row],[Score20]],Form_Responses[[#This Row],[Score21]],Form_Responses[[#This Row],[Score22]],Form_Responses[[#This Row],[Score23]],Form_Responses[[#This Row],[Score24]],Form_Responses[[#This Row],[Score25]],Form_Responses[[#This Row],[Score26]])</f>
        <v>16</v>
      </c>
      <c r="BP70" s="4" t="str">
        <f>IF(Form_Responses[[#This Row],[Anxiety Score2]]&lt;=13,"Low stress",IF(Form_Responses[[#This Row],[Anxiety Score2]]&lt;=26,"Moderate stress","High stress"))</f>
        <v xml:space="preserve">Moderate stress</v>
      </c>
      <c r="BQ70" s="3" t="s">
        <v>76</v>
      </c>
      <c r="BR70" s="3" t="s">
        <v>76</v>
      </c>
      <c r="BS70" s="3" t="s">
        <v>416</v>
      </c>
      <c r="BT70" s="3" t="s">
        <v>117</v>
      </c>
      <c r="BU70" s="3" t="s">
        <v>76</v>
      </c>
      <c r="BV70" s="3" t="s">
        <v>417</v>
      </c>
      <c r="BW70" s="3" t="s">
        <v>418</v>
      </c>
      <c r="BX70" s="3" t="s">
        <v>419</v>
      </c>
    </row>
    <row r="71" ht="22.5" customHeight="1">
      <c r="A71" s="2">
        <v>46202.98115482639</v>
      </c>
      <c r="B71" s="3" t="s">
        <v>76</v>
      </c>
      <c r="C71" s="3" t="s">
        <v>77</v>
      </c>
      <c r="D71" s="3" t="s">
        <v>112</v>
      </c>
      <c r="E71" s="3" t="s">
        <v>197</v>
      </c>
      <c r="F71" s="3" t="s">
        <v>420</v>
      </c>
      <c r="G71" s="3" t="s">
        <v>81</v>
      </c>
      <c r="H71" s="3" t="s">
        <v>101</v>
      </c>
      <c r="I71" s="3" t="s">
        <v>83</v>
      </c>
      <c r="J71" s="3" t="s">
        <v>84</v>
      </c>
      <c r="K71" s="3" t="s">
        <v>87</v>
      </c>
      <c r="L71" s="4">
        <f>IF(K71="Not at all",0,IF(K71="Several days",1,IF(K71="More than half the days",2,3)))</f>
        <v>2</v>
      </c>
      <c r="M71" s="3" t="s">
        <v>87</v>
      </c>
      <c r="N71" s="4">
        <f>IF(M71="Not at all",0,IF(M71="Several days",1,IF(M71="More than half the days",2,3)))</f>
        <v>2</v>
      </c>
      <c r="O71" s="3" t="s">
        <v>104</v>
      </c>
      <c r="P71" s="5">
        <f>IF(O71="Not at all",0,IF(O71="Several days",1,IF(O71="More than half the days",2,3)))</f>
        <v>3</v>
      </c>
      <c r="Q71" s="3" t="s">
        <v>87</v>
      </c>
      <c r="R71" s="4">
        <f>IF(Q71="Not at all",0,IF(Q71="Several days",1,IF(Q71="More than half the days",2,3)))</f>
        <v>2</v>
      </c>
      <c r="S71" s="3" t="s">
        <v>104</v>
      </c>
      <c r="T71" s="4">
        <f>IF(S71="Not at all",0,IF(S71="Several days",1,IF(S71="More than half the days",2,3)))</f>
        <v>3</v>
      </c>
      <c r="U71" s="3" t="s">
        <v>86</v>
      </c>
      <c r="V71" s="4">
        <f>IF(U71="Not at all",0,IF(U71="Several days",1,IF(U71="More than half the days",2,3)))</f>
        <v>1</v>
      </c>
      <c r="W71" s="3" t="s">
        <v>86</v>
      </c>
      <c r="X71" s="4">
        <f>IF(W71="Not at all",0,IF(W71="Several days",1,IF(W71="More than half the days",2,3)))</f>
        <v>1</v>
      </c>
      <c r="Y71" s="3" t="s">
        <v>85</v>
      </c>
      <c r="Z71" s="4">
        <f>IF(Y71="Not at all",0,IF(Y71="Several days",1,IF(Y71="More than half the days",2,3)))</f>
        <v>0</v>
      </c>
      <c r="AA71" s="3" t="s">
        <v>87</v>
      </c>
      <c r="AB71" s="4">
        <f>IF(AA71="Not at all",0,IF(AA71="Several days",1,IF(AA71="More than half the days",2,3)))</f>
        <v>2</v>
      </c>
      <c r="AC71" s="4">
        <f>SUM(Form_Responses[[#This Row],[Score]],Form_Responses[[#This Row],[Score2]],Form_Responses[[#This Row],[Score3]],Form_Responses[[#This Row],[Score4]],Form_Responses[[#This Row],[Score5]],Form_Responses[[#This Row],[Score6]],Form_Responses[[#This Row],[Score7]],Form_Responses[[#This Row],[Score8]],Form_Responses[[#This Row],[Score9]])</f>
        <v>16</v>
      </c>
      <c r="AD71" s="4" t="str">
        <f>IF(Form_Responses[[#This Row],[Depression Score ]]&lt;=4,"Minimal symptoms",IF(Form_Responses[[#This Row],[Depression Score ]]&lt;=9,"Mild Depression",IF(Form_Responses[[#This Row],[Depression Score ]]&lt;=14,"Moderate depression",IF(Form_Responses[[#This Row],[Depression Score ]]&lt;=19,"Moderately severe depression","Severe depression"))))</f>
        <v xml:space="preserve">Moderately severe depression</v>
      </c>
      <c r="AE71" s="3" t="s">
        <v>87</v>
      </c>
      <c r="AF71" s="4">
        <f>IF(AE71="Not at all",0,IF(AE71="Several days",1,IF(AE71="More than half the days",2,3)))</f>
        <v>2</v>
      </c>
      <c r="AG71" s="3" t="s">
        <v>87</v>
      </c>
      <c r="AH71" s="4">
        <f>IF(AG71="Not at all",0,IF(AG71="Several days",1,IF(AG71="More than half the days",2,3)))</f>
        <v>2</v>
      </c>
      <c r="AI71" s="3" t="s">
        <v>104</v>
      </c>
      <c r="AJ71" s="4">
        <f>IF(AI71="Not at all",0,IF(AI71="Several days",1,IF(AI71="More than half the days",2,3)))</f>
        <v>3</v>
      </c>
      <c r="AK71" s="3" t="s">
        <v>87</v>
      </c>
      <c r="AL71" s="4">
        <f>IF(AK71="Not at all",0,IF(AK71="Several days",1,IF(AK71="More than half the days",2,3)))</f>
        <v>2</v>
      </c>
      <c r="AM71" s="3" t="s">
        <v>86</v>
      </c>
      <c r="AN71" s="4">
        <f>IF(AM71="Not at all",0,IF(AM71="Several days",1,IF(AM71="More than half the days",2,3)))</f>
        <v>1</v>
      </c>
      <c r="AO71" s="3" t="s">
        <v>86</v>
      </c>
      <c r="AP71" s="4">
        <f>IF(AO71="Not at all",0,IF(AO71="Several days",1,IF(AO71="More than half the days",2,3)))</f>
        <v>1</v>
      </c>
      <c r="AQ71" s="3" t="s">
        <v>87</v>
      </c>
      <c r="AR71" s="4">
        <f>IF(AQ71="Not at all",0,IF(AQ71="Several days",1,IF(AQ71="More than half the days",2,3)))</f>
        <v>2</v>
      </c>
      <c r="AS71" s="4">
        <f>SUM(Form_Responses[[#This Row],[Score16]],Form_Responses[[#This Row],[Score10]],Form_Responses[[#This Row],[Score11]],Form_Responses[[#This Row],[Score12]],Form_Responses[[#This Row],[Score13]],Form_Responses[[#This Row],[Score14]],Form_Responses[[#This Row],[Score15]])</f>
        <v>13</v>
      </c>
      <c r="AT71" s="4" t="str">
        <f>IF(Form_Responses[[#This Row],[Anxiety Score]]&lt;=4,"Minimal anxiety",IF(Form_Responses[[#This Row],[Anxiety Score]]&lt;=9,"Mild anxiety",IF(Form_Responses[[#This Row],[Anxiety Score]]&lt;=14,"Moderate anxiety","Severe anxiety")))</f>
        <v xml:space="preserve">Moderate anxiety</v>
      </c>
      <c r="AU71" s="3" t="s">
        <v>105</v>
      </c>
      <c r="AV71" s="4">
        <f>IF(Form_Responses[[#This Row],[1. In the last month, how often have you been upset because of unexpected situations related to academics, finances, or personal life?]]="Never",0,IF(Form_Responses[[#This Row],[1. In the last month, how often have you been upset because of unexpected situations related to academics, finances, or personal life?]]="Almost never",1,IF(Form_Responses[[#This Row],[1. In the last month, how often have you been upset because of unexpected situations related to academics, finances, or personal life?]]="Sometimes",2,IF(Form_Responses[[#This Row],[1. In the last month, how often have you been upset because of unexpected situations related to academics, finances, or personal life?]]="Fairly often",3,4))))</f>
        <v>4</v>
      </c>
      <c r="AW71" s="3" t="s">
        <v>105</v>
      </c>
      <c r="AX71" s="5">
        <f>IF(Form_Responses[[#This Row],[2. In the last month, how often have you felt unable to control important things in your academic or personal life?]]="Never",0,IF(Form_Responses[[#This Row],[2. In the last month, how often have you felt unable to control important things in your academic or personal life?]]="Almost never",1,IF(Form_Responses[[#This Row],[2. In the last month, how often have you felt unable to control important things in your academic or personal life?]]="Sometimes",2,IF(Form_Responses[[#This Row],[2. In the last month, how often have you felt unable to control important things in your academic or personal life?]]="Fairly often",3,4))))</f>
        <v>4</v>
      </c>
      <c r="AY71" s="3" t="s">
        <v>105</v>
      </c>
      <c r="AZ71" s="4">
        <f>IF(Form_Responses[[#This Row],[3. In the last month, how often have you felt nervous or stressed because of university responsibilities or personal challenges?]]="Never",0,IF(Form_Responses[[#This Row],[3. In the last month, how often have you felt nervous or stressed because of university responsibilities or personal challenges?]]="Almost never",1,IF(Form_Responses[[#This Row],[3. In the last month, how often have you felt nervous or stressed because of university responsibilities or personal challenges?]]="Sometimes",2,IF(Form_Responses[[#This Row],[3. In the last month, how often have you felt nervous or stressed because of university responsibilities or personal challenges?]]="Fairly often",3,4))))</f>
        <v>4</v>
      </c>
      <c r="BA71" s="3" t="s">
        <v>88</v>
      </c>
      <c r="BB71" s="4">
        <f>IF(Form_Responses[[#This Row],[4. In the last month, how often have you felt confident about your ability to handle academic or personal problems?]]="Never",4,IF(Form_Responses[[#This Row],[4. In the last month, how often have you felt confident about your ability to handle academic or personal problems?]]="Almost never",3,IF(Form_Responses[[#This Row],[4. In the last month, how often have you felt confident about your ability to handle academic or personal problems?]]="Sometimes",2,IF(Form_Responses[[#This Row],[4. In the last month, how often have you felt confident about your ability to handle academic or personal problems?]]="Fairly often",1,0))))</f>
        <v>1</v>
      </c>
      <c r="BC71" s="3" t="s">
        <v>89</v>
      </c>
      <c r="BD71" s="4">
        <f>IF(Form_Responses[[#This Row],[5. In the last month, how often have you felt that things were going well in your studies or personal life?]]="Never",4,IF(Form_Responses[[#This Row],[5. In the last month, how often have you felt that things were going well in your studies or personal life?]]="Almost never",3,IF(Form_Responses[[#This Row],[5. In the last month, how often have you felt that things were going well in your studies or personal life?]]="Sometimes",2,IF(Form_Responses[[#This Row],[5. In the last month, how often have you felt that things were going well in your studies or personal life?]]="Fairly often",1,0))))</f>
        <v>2</v>
      </c>
      <c r="BE71" s="3" t="s">
        <v>89</v>
      </c>
      <c r="BF71" s="4">
        <f>IF(Form_Responses[[#This Row],[6. In the last month, how often have you felt unable to cope with coursework, deadlines, or daily responsibilities?]]="Never",0,IF(Form_Responses[[#This Row],[6. In the last month, how often have you felt unable to cope with coursework, deadlines, or daily responsibilities?]]="Almost never",1,IF(Form_Responses[[#This Row],[6. In the last month, how often have you felt unable to cope with coursework, deadlines, or daily responsibilities?]]="Sometimes",2,IF(Form_Responses[[#This Row],[6. In the last month, how often have you felt unable to cope with coursework, deadlines, or daily responsibilities?]]="Fairly often",3,4))))</f>
        <v>2</v>
      </c>
      <c r="BG71" s="3" t="s">
        <v>89</v>
      </c>
      <c r="BH71" s="4">
        <f>IF(Form_Responses[[#This Row],[7. In the last month, how often have you been able to control irritations or frustrations in your life?]]="Never",4,IF(Form_Responses[[#This Row],[7. In the last month, how often have you been able to control irritations or frustrations in your life?]]="Almost never",3,IF(Form_Responses[[#This Row],[7. In the last month, how often have you been able to control irritations or frustrations in your life?]]="Sometimes",2,IF(Form_Responses[[#This Row],[7. In the last month, how often have you been able to control irritations or frustrations in your life?]]="Fairly often",1,0))))</f>
        <v>2</v>
      </c>
      <c r="BI71" s="3" t="s">
        <v>124</v>
      </c>
      <c r="BJ71" s="4">
        <f>IF(Form_Responses[[#This Row],[8. In the last month, how often have you felt that you were managing your academic and personal responsibilities well?]]="Never",4,IF(Form_Responses[[#This Row],[8. In the last month, how often have you felt that you were managing your academic and personal responsibilities well?]]="Almost never",3,IF(Form_Responses[[#This Row],[8. In the last month, how often have you felt that you were managing your academic and personal responsibilities well?]]="Sometimes",2,IF(Form_Responses[[#This Row],[8. In the last month, how often have you felt that you were managing your academic and personal responsibilities well?]]="Fairly often",1,0))))</f>
        <v>4</v>
      </c>
      <c r="BK71" s="3" t="s">
        <v>89</v>
      </c>
      <c r="BL71" s="5">
        <f>IF(Form_Responses[[#This Row],[9. In the last month, how often have you been angered or frustrated by situations outside your control, such as finances, academics, or relationships?]]="Never",0,IF(Form_Responses[[#This Row],[9. In the last month, how often have you been angered or frustrated by situations outside your control, such as finances, academics, or relationships?]]="Almost never",1,IF(Form_Responses[[#This Row],[9. In the last month, how often have you been angered or frustrated by situations outside your control, such as finances, academics, or relationships?]]="Sometimes",2,IF(Form_Responses[[#This Row],[9. In the last month, how often have you been angered or frustrated by situations outside your control, such as finances, academics, or relationships?]]="Fairly often",3,4))))</f>
        <v>2</v>
      </c>
      <c r="BM71" s="3" t="s">
        <v>88</v>
      </c>
      <c r="BN71" s="4">
        <f>IF(Form_Responses[[#This Row],[10. In the last month, how often have you felt that difficulties were piling up so much that you could not overcome them?]]="Never",0,IF(Form_Responses[[#This Row],[10. In the last month, how often have you felt that difficulties were piling up so much that you could not overcome them?]]="Almost never",1,IF(Form_Responses[[#This Row],[10. In the last month, how often have you felt that difficulties were piling up so much that you could not overcome them?]]="Sometimes",2,IF(Form_Responses[[#This Row],[10. In the last month, how often have you felt that difficulties were piling up so much that you could not overcome them?]]="Fairly often",3,4))))</f>
        <v>3</v>
      </c>
      <c r="BO71" s="4">
        <f>SUM(Form_Responses[[#This Row],[Score17]],Form_Responses[[#This Row],[Score18]],Form_Responses[[#This Row],[Score19]],Form_Responses[[#This Row],[Score20]],Form_Responses[[#This Row],[Score21]],Form_Responses[[#This Row],[Score22]],Form_Responses[[#This Row],[Score23]],Form_Responses[[#This Row],[Score24]],Form_Responses[[#This Row],[Score25]],Form_Responses[[#This Row],[Score26]])</f>
        <v>28</v>
      </c>
      <c r="BP71" s="4" t="str">
        <f>IF(Form_Responses[[#This Row],[Anxiety Score2]]&lt;=13,"Low stress",IF(Form_Responses[[#This Row],[Anxiety Score2]]&lt;=26,"Moderate stress","High stress"))</f>
        <v xml:space="preserve">High stress</v>
      </c>
      <c r="BQ71" s="3" t="s">
        <v>91</v>
      </c>
      <c r="BR71" s="3" t="s">
        <v>76</v>
      </c>
      <c r="BS71" s="3" t="s">
        <v>161</v>
      </c>
      <c r="BT71" s="3" t="s">
        <v>162</v>
      </c>
      <c r="BU71" s="3" t="s">
        <v>106</v>
      </c>
      <c r="BV71" s="3" t="s">
        <v>421</v>
      </c>
      <c r="BW71" s="3" t="s">
        <v>422</v>
      </c>
      <c r="BX71" s="3" t="s">
        <v>423</v>
      </c>
    </row>
    <row r="72" ht="22.5" customHeight="1">
      <c r="A72" s="2">
        <v>46203.018571319444</v>
      </c>
      <c r="B72" s="3" t="s">
        <v>76</v>
      </c>
      <c r="C72" s="3" t="s">
        <v>97</v>
      </c>
      <c r="D72" s="3" t="s">
        <v>78</v>
      </c>
      <c r="E72" s="3" t="s">
        <v>218</v>
      </c>
      <c r="F72" s="3" t="s">
        <v>424</v>
      </c>
      <c r="G72" s="3" t="s">
        <v>100</v>
      </c>
      <c r="H72" s="3" t="s">
        <v>82</v>
      </c>
      <c r="I72" s="3" t="s">
        <v>123</v>
      </c>
      <c r="J72" s="3" t="s">
        <v>103</v>
      </c>
      <c r="K72" s="3" t="s">
        <v>86</v>
      </c>
      <c r="L72" s="4">
        <f>IF(K72="Not at all",0,IF(K72="Several days",1,IF(K72="More than half the days",2,3)))</f>
        <v>1</v>
      </c>
      <c r="M72" s="3" t="s">
        <v>85</v>
      </c>
      <c r="N72" s="4">
        <f>IF(M72="Not at all",0,IF(M72="Several days",1,IF(M72="More than half the days",2,3)))</f>
        <v>0</v>
      </c>
      <c r="O72" s="3" t="s">
        <v>87</v>
      </c>
      <c r="P72" s="5">
        <f>IF(O72="Not at all",0,IF(O72="Several days",1,IF(O72="More than half the days",2,3)))</f>
        <v>2</v>
      </c>
      <c r="Q72" s="3" t="s">
        <v>85</v>
      </c>
      <c r="R72" s="4">
        <f>IF(Q72="Not at all",0,IF(Q72="Several days",1,IF(Q72="More than half the days",2,3)))</f>
        <v>0</v>
      </c>
      <c r="S72" s="3" t="s">
        <v>86</v>
      </c>
      <c r="T72" s="4">
        <f>IF(S72="Not at all",0,IF(S72="Several days",1,IF(S72="More than half the days",2,3)))</f>
        <v>1</v>
      </c>
      <c r="U72" s="3" t="s">
        <v>85</v>
      </c>
      <c r="V72" s="4">
        <f>IF(U72="Not at all",0,IF(U72="Several days",1,IF(U72="More than half the days",2,3)))</f>
        <v>0</v>
      </c>
      <c r="W72" s="3" t="s">
        <v>85</v>
      </c>
      <c r="X72" s="4">
        <f>IF(W72="Not at all",0,IF(W72="Several days",1,IF(W72="More than half the days",2,3)))</f>
        <v>0</v>
      </c>
      <c r="Y72" s="3" t="s">
        <v>86</v>
      </c>
      <c r="Z72" s="4">
        <f>IF(Y72="Not at all",0,IF(Y72="Several days",1,IF(Y72="More than half the days",2,3)))</f>
        <v>1</v>
      </c>
      <c r="AA72" s="3" t="s">
        <v>85</v>
      </c>
      <c r="AB72" s="4">
        <f>IF(AA72="Not at all",0,IF(AA72="Several days",1,IF(AA72="More than half the days",2,3)))</f>
        <v>0</v>
      </c>
      <c r="AC72" s="4">
        <f>SUM(Form_Responses[[#This Row],[Score]],Form_Responses[[#This Row],[Score2]],Form_Responses[[#This Row],[Score3]],Form_Responses[[#This Row],[Score4]],Form_Responses[[#This Row],[Score5]],Form_Responses[[#This Row],[Score6]],Form_Responses[[#This Row],[Score7]],Form_Responses[[#This Row],[Score8]],Form_Responses[[#This Row],[Score9]])</f>
        <v>5</v>
      </c>
      <c r="AD72" s="4" t="str">
        <f>IF(Form_Responses[[#This Row],[Depression Score ]]&lt;=4,"Minimal symptoms",IF(Form_Responses[[#This Row],[Depression Score ]]&lt;=9,"Mild Depression",IF(Form_Responses[[#This Row],[Depression Score ]]&lt;=14,"Moderate depression",IF(Form_Responses[[#This Row],[Depression Score ]]&lt;=19,"Moderately severe depression","Severe depression"))))</f>
        <v xml:space="preserve">Mild Depression</v>
      </c>
      <c r="AE72" s="3" t="s">
        <v>86</v>
      </c>
      <c r="AF72" s="4">
        <f>IF(AE72="Not at all",0,IF(AE72="Several days",1,IF(AE72="More than half the days",2,3)))</f>
        <v>1</v>
      </c>
      <c r="AG72" s="3" t="s">
        <v>86</v>
      </c>
      <c r="AH72" s="4">
        <f>IF(AG72="Not at all",0,IF(AG72="Several days",1,IF(AG72="More than half the days",2,3)))</f>
        <v>1</v>
      </c>
      <c r="AI72" s="3" t="s">
        <v>86</v>
      </c>
      <c r="AJ72" s="4">
        <f>IF(AI72="Not at all",0,IF(AI72="Several days",1,IF(AI72="More than half the days",2,3)))</f>
        <v>1</v>
      </c>
      <c r="AK72" s="3" t="s">
        <v>87</v>
      </c>
      <c r="AL72" s="4">
        <f>IF(AK72="Not at all",0,IF(AK72="Several days",1,IF(AK72="More than half the days",2,3)))</f>
        <v>2</v>
      </c>
      <c r="AM72" s="3" t="s">
        <v>85</v>
      </c>
      <c r="AN72" s="4">
        <f>IF(AM72="Not at all",0,IF(AM72="Several days",1,IF(AM72="More than half the days",2,3)))</f>
        <v>0</v>
      </c>
      <c r="AO72" s="3" t="s">
        <v>85</v>
      </c>
      <c r="AP72" s="4">
        <f>IF(AO72="Not at all",0,IF(AO72="Several days",1,IF(AO72="More than half the days",2,3)))</f>
        <v>0</v>
      </c>
      <c r="AQ72" s="3" t="s">
        <v>85</v>
      </c>
      <c r="AR72" s="4">
        <f>IF(AQ72="Not at all",0,IF(AQ72="Several days",1,IF(AQ72="More than half the days",2,3)))</f>
        <v>0</v>
      </c>
      <c r="AS72" s="4">
        <f>SUM(Form_Responses[[#This Row],[Score16]],Form_Responses[[#This Row],[Score10]],Form_Responses[[#This Row],[Score11]],Form_Responses[[#This Row],[Score12]],Form_Responses[[#This Row],[Score13]],Form_Responses[[#This Row],[Score14]],Form_Responses[[#This Row],[Score15]])</f>
        <v>5</v>
      </c>
      <c r="AT72" s="4" t="str">
        <f>IF(Form_Responses[[#This Row],[Anxiety Score]]&lt;=4,"Minimal anxiety",IF(Form_Responses[[#This Row],[Anxiety Score]]&lt;=9,"Mild anxiety",IF(Form_Responses[[#This Row],[Anxiety Score]]&lt;=14,"Moderate anxiety","Severe anxiety")))</f>
        <v xml:space="preserve">Mild anxiety</v>
      </c>
      <c r="AU72" s="3" t="s">
        <v>89</v>
      </c>
      <c r="AV72" s="4">
        <f>IF(Form_Responses[[#This Row],[1. In the last month, how often have you been upset because of unexpected situations related to academics, finances, or personal life?]]="Never",0,IF(Form_Responses[[#This Row],[1. In the last month, how often have you been upset because of unexpected situations related to academics, finances, or personal life?]]="Almost never",1,IF(Form_Responses[[#This Row],[1. In the last month, how often have you been upset because of unexpected situations related to academics, finances, or personal life?]]="Sometimes",2,IF(Form_Responses[[#This Row],[1. In the last month, how often have you been upset because of unexpected situations related to academics, finances, or personal life?]]="Fairly often",3,4))))</f>
        <v>2</v>
      </c>
      <c r="AW72" s="3" t="s">
        <v>89</v>
      </c>
      <c r="AX72" s="5">
        <f>IF(Form_Responses[[#This Row],[2. In the last month, how often have you felt unable to control important things in your academic or personal life?]]="Never",0,IF(Form_Responses[[#This Row],[2. In the last month, how often have you felt unable to control important things in your academic or personal life?]]="Almost never",1,IF(Form_Responses[[#This Row],[2. In the last month, how often have you felt unable to control important things in your academic or personal life?]]="Sometimes",2,IF(Form_Responses[[#This Row],[2. In the last month, how often have you felt unable to control important things in your academic or personal life?]]="Fairly often",3,4))))</f>
        <v>2</v>
      </c>
      <c r="AY72" s="3" t="s">
        <v>89</v>
      </c>
      <c r="AZ72" s="4">
        <f>IF(Form_Responses[[#This Row],[3. In the last month, how often have you felt nervous or stressed because of university responsibilities or personal challenges?]]="Never",0,IF(Form_Responses[[#This Row],[3. In the last month, how often have you felt nervous or stressed because of university responsibilities or personal challenges?]]="Almost never",1,IF(Form_Responses[[#This Row],[3. In the last month, how often have you felt nervous or stressed because of university responsibilities or personal challenges?]]="Sometimes",2,IF(Form_Responses[[#This Row],[3. In the last month, how often have you felt nervous or stressed because of university responsibilities or personal challenges?]]="Fairly often",3,4))))</f>
        <v>2</v>
      </c>
      <c r="BA72" s="3" t="s">
        <v>89</v>
      </c>
      <c r="BB72" s="4">
        <f>IF(Form_Responses[[#This Row],[4. In the last month, how often have you felt confident about your ability to handle academic or personal problems?]]="Never",4,IF(Form_Responses[[#This Row],[4. In the last month, how often have you felt confident about your ability to handle academic or personal problems?]]="Almost never",3,IF(Form_Responses[[#This Row],[4. In the last month, how often have you felt confident about your ability to handle academic or personal problems?]]="Sometimes",2,IF(Form_Responses[[#This Row],[4. In the last month, how often have you felt confident about your ability to handle academic or personal problems?]]="Fairly often",1,0))))</f>
        <v>2</v>
      </c>
      <c r="BC72" s="3" t="s">
        <v>88</v>
      </c>
      <c r="BD72" s="4">
        <f>IF(Form_Responses[[#This Row],[5. In the last month, how often have you felt that things were going well in your studies or personal life?]]="Never",4,IF(Form_Responses[[#This Row],[5. In the last month, how often have you felt that things were going well in your studies or personal life?]]="Almost never",3,IF(Form_Responses[[#This Row],[5. In the last month, how often have you felt that things were going well in your studies or personal life?]]="Sometimes",2,IF(Form_Responses[[#This Row],[5. In the last month, how often have you felt that things were going well in your studies or personal life?]]="Fairly often",1,0))))</f>
        <v>1</v>
      </c>
      <c r="BE72" s="3" t="s">
        <v>89</v>
      </c>
      <c r="BF72" s="4">
        <f>IF(Form_Responses[[#This Row],[6. In the last month, how often have you felt unable to cope with coursework, deadlines, or daily responsibilities?]]="Never",0,IF(Form_Responses[[#This Row],[6. In the last month, how often have you felt unable to cope with coursework, deadlines, or daily responsibilities?]]="Almost never",1,IF(Form_Responses[[#This Row],[6. In the last month, how often have you felt unable to cope with coursework, deadlines, or daily responsibilities?]]="Sometimes",2,IF(Form_Responses[[#This Row],[6. In the last month, how often have you felt unable to cope with coursework, deadlines, or daily responsibilities?]]="Fairly often",3,4))))</f>
        <v>2</v>
      </c>
      <c r="BG72" s="3" t="s">
        <v>88</v>
      </c>
      <c r="BH72" s="4">
        <f>IF(Form_Responses[[#This Row],[7. In the last month, how often have you been able to control irritations or frustrations in your life?]]="Never",4,IF(Form_Responses[[#This Row],[7. In the last month, how often have you been able to control irritations or frustrations in your life?]]="Almost never",3,IF(Form_Responses[[#This Row],[7. In the last month, how often have you been able to control irritations or frustrations in your life?]]="Sometimes",2,IF(Form_Responses[[#This Row],[7. In the last month, how often have you been able to control irritations or frustrations in your life?]]="Fairly often",1,0))))</f>
        <v>1</v>
      </c>
      <c r="BI72" s="3" t="s">
        <v>105</v>
      </c>
      <c r="BJ72" s="4">
        <f>IF(Form_Responses[[#This Row],[8. In the last month, how often have you felt that you were managing your academic and personal responsibilities well?]]="Never",4,IF(Form_Responses[[#This Row],[8. In the last month, how often have you felt that you were managing your academic and personal responsibilities well?]]="Almost never",3,IF(Form_Responses[[#This Row],[8. In the last month, how often have you felt that you were managing your academic and personal responsibilities well?]]="Sometimes",2,IF(Form_Responses[[#This Row],[8. In the last month, how often have you felt that you were managing your academic and personal responsibilities well?]]="Fairly often",1,0))))</f>
        <v>0</v>
      </c>
      <c r="BK72" s="3" t="s">
        <v>88</v>
      </c>
      <c r="BL72" s="5">
        <f>IF(Form_Responses[[#This Row],[9. In the last month, how often have you been angered or frustrated by situations outside your control, such as finances, academics, or relationships?]]="Never",0,IF(Form_Responses[[#This Row],[9. In the last month, how often have you been angered or frustrated by situations outside your control, such as finances, academics, or relationships?]]="Almost never",1,IF(Form_Responses[[#This Row],[9. In the last month, how often have you been angered or frustrated by situations outside your control, such as finances, academics, or relationships?]]="Sometimes",2,IF(Form_Responses[[#This Row],[9. In the last month, how often have you been angered or frustrated by situations outside your control, such as finances, academics, or relationships?]]="Fairly often",3,4))))</f>
        <v>3</v>
      </c>
      <c r="BM72" s="3" t="s">
        <v>89</v>
      </c>
      <c r="BN72" s="4">
        <f>IF(Form_Responses[[#This Row],[10. In the last month, how often have you felt that difficulties were piling up so much that you could not overcome them?]]="Never",0,IF(Form_Responses[[#This Row],[10. In the last month, how often have you felt that difficulties were piling up so much that you could not overcome them?]]="Almost never",1,IF(Form_Responses[[#This Row],[10. In the last month, how often have you felt that difficulties were piling up so much that you could not overcome them?]]="Sometimes",2,IF(Form_Responses[[#This Row],[10. In the last month, how often have you felt that difficulties were piling up so much that you could not overcome them?]]="Fairly often",3,4))))</f>
        <v>2</v>
      </c>
      <c r="BO72" s="4">
        <f>SUM(Form_Responses[[#This Row],[Score17]],Form_Responses[[#This Row],[Score18]],Form_Responses[[#This Row],[Score19]],Form_Responses[[#This Row],[Score20]],Form_Responses[[#This Row],[Score21]],Form_Responses[[#This Row],[Score22]],Form_Responses[[#This Row],[Score23]],Form_Responses[[#This Row],[Score24]],Form_Responses[[#This Row],[Score25]],Form_Responses[[#This Row],[Score26]])</f>
        <v>17</v>
      </c>
      <c r="BP72" s="4" t="str">
        <f>IF(Form_Responses[[#This Row],[Anxiety Score2]]&lt;=13,"Low stress",IF(Form_Responses[[#This Row],[Anxiety Score2]]&lt;=26,"Moderate stress","High stress"))</f>
        <v xml:space="preserve">Moderate stress</v>
      </c>
      <c r="BQ72" s="3" t="s">
        <v>76</v>
      </c>
      <c r="BR72" s="3" t="s">
        <v>76</v>
      </c>
      <c r="BS72" s="3" t="s">
        <v>425</v>
      </c>
      <c r="BT72" s="3" t="s">
        <v>108</v>
      </c>
      <c r="BU72" s="3" t="s">
        <v>76</v>
      </c>
      <c r="BV72" s="3" t="s">
        <v>426</v>
      </c>
      <c r="BW72" s="3" t="s">
        <v>427</v>
      </c>
      <c r="BX72" s="3" t="s">
        <v>428</v>
      </c>
    </row>
    <row r="73" ht="22.5" customHeight="1">
      <c r="A73" s="2">
        <v>46203.057630034724</v>
      </c>
      <c r="B73" s="3" t="s">
        <v>76</v>
      </c>
      <c r="C73" s="3" t="s">
        <v>77</v>
      </c>
      <c r="D73" s="3" t="s">
        <v>78</v>
      </c>
      <c r="E73" s="3" t="s">
        <v>197</v>
      </c>
      <c r="F73" s="3" t="s">
        <v>198</v>
      </c>
      <c r="G73" s="3" t="s">
        <v>100</v>
      </c>
      <c r="H73" s="3" t="s">
        <v>101</v>
      </c>
      <c r="I73" s="3" t="s">
        <v>83</v>
      </c>
      <c r="J73" s="3" t="s">
        <v>84</v>
      </c>
      <c r="K73" s="3" t="s">
        <v>86</v>
      </c>
      <c r="L73" s="4">
        <f>IF(K73="Not at all",0,IF(K73="Several days",1,IF(K73="More than half the days",2,3)))</f>
        <v>1</v>
      </c>
      <c r="M73" s="3" t="s">
        <v>85</v>
      </c>
      <c r="N73" s="4">
        <f>IF(M73="Not at all",0,IF(M73="Several days",1,IF(M73="More than half the days",2,3)))</f>
        <v>0</v>
      </c>
      <c r="O73" s="3" t="s">
        <v>85</v>
      </c>
      <c r="P73" s="5">
        <f>IF(O73="Not at all",0,IF(O73="Several days",1,IF(O73="More than half the days",2,3)))</f>
        <v>0</v>
      </c>
      <c r="Q73" s="3" t="s">
        <v>86</v>
      </c>
      <c r="R73" s="4">
        <f>IF(Q73="Not at all",0,IF(Q73="Several days",1,IF(Q73="More than half the days",2,3)))</f>
        <v>1</v>
      </c>
      <c r="S73" s="3" t="s">
        <v>85</v>
      </c>
      <c r="T73" s="4">
        <f>IF(S73="Not at all",0,IF(S73="Several days",1,IF(S73="More than half the days",2,3)))</f>
        <v>0</v>
      </c>
      <c r="U73" s="3" t="s">
        <v>85</v>
      </c>
      <c r="V73" s="4">
        <f>IF(U73="Not at all",0,IF(U73="Several days",1,IF(U73="More than half the days",2,3)))</f>
        <v>0</v>
      </c>
      <c r="W73" s="3" t="s">
        <v>85</v>
      </c>
      <c r="X73" s="4">
        <f>IF(W73="Not at all",0,IF(W73="Several days",1,IF(W73="More than half the days",2,3)))</f>
        <v>0</v>
      </c>
      <c r="Y73" s="3" t="s">
        <v>85</v>
      </c>
      <c r="Z73" s="4">
        <f>IF(Y73="Not at all",0,IF(Y73="Several days",1,IF(Y73="More than half the days",2,3)))</f>
        <v>0</v>
      </c>
      <c r="AA73" s="3" t="s">
        <v>85</v>
      </c>
      <c r="AB73" s="4">
        <f>IF(AA73="Not at all",0,IF(AA73="Several days",1,IF(AA73="More than half the days",2,3)))</f>
        <v>0</v>
      </c>
      <c r="AC73" s="4">
        <f>SUM(Form_Responses[[#This Row],[Score]],Form_Responses[[#This Row],[Score2]],Form_Responses[[#This Row],[Score3]],Form_Responses[[#This Row],[Score4]],Form_Responses[[#This Row],[Score5]],Form_Responses[[#This Row],[Score6]],Form_Responses[[#This Row],[Score7]],Form_Responses[[#This Row],[Score8]],Form_Responses[[#This Row],[Score9]])</f>
        <v>2</v>
      </c>
      <c r="AD73" s="4" t="str">
        <f>IF(Form_Responses[[#This Row],[Depression Score ]]&lt;=4,"Minimal symptoms",IF(Form_Responses[[#This Row],[Depression Score ]]&lt;=9,"Mild Depression",IF(Form_Responses[[#This Row],[Depression Score ]]&lt;=14,"Moderate depression",IF(Form_Responses[[#This Row],[Depression Score ]]&lt;=19,"Moderately severe depression","Severe depression"))))</f>
        <v xml:space="preserve">Minimal symptoms</v>
      </c>
      <c r="AE73" s="3" t="s">
        <v>86</v>
      </c>
      <c r="AF73" s="4">
        <f>IF(AE73="Not at all",0,IF(AE73="Several days",1,IF(AE73="More than half the days",2,3)))</f>
        <v>1</v>
      </c>
      <c r="AG73" s="3" t="s">
        <v>86</v>
      </c>
      <c r="AH73" s="4">
        <f>IF(AG73="Not at all",0,IF(AG73="Several days",1,IF(AG73="More than half the days",2,3)))</f>
        <v>1</v>
      </c>
      <c r="AI73" s="3" t="s">
        <v>104</v>
      </c>
      <c r="AJ73" s="4">
        <f>IF(AI73="Not at all",0,IF(AI73="Several days",1,IF(AI73="More than half the days",2,3)))</f>
        <v>3</v>
      </c>
      <c r="AK73" s="3" t="s">
        <v>86</v>
      </c>
      <c r="AL73" s="4">
        <f>IF(AK73="Not at all",0,IF(AK73="Several days",1,IF(AK73="More than half the days",2,3)))</f>
        <v>1</v>
      </c>
      <c r="AM73" s="3" t="s">
        <v>85</v>
      </c>
      <c r="AN73" s="4">
        <f>IF(AM73="Not at all",0,IF(AM73="Several days",1,IF(AM73="More than half the days",2,3)))</f>
        <v>0</v>
      </c>
      <c r="AO73" s="3" t="s">
        <v>85</v>
      </c>
      <c r="AP73" s="4">
        <f>IF(AO73="Not at all",0,IF(AO73="Several days",1,IF(AO73="More than half the days",2,3)))</f>
        <v>0</v>
      </c>
      <c r="AQ73" s="3" t="s">
        <v>85</v>
      </c>
      <c r="AR73" s="4">
        <f>IF(AQ73="Not at all",0,IF(AQ73="Several days",1,IF(AQ73="More than half the days",2,3)))</f>
        <v>0</v>
      </c>
      <c r="AS73" s="4">
        <f>SUM(Form_Responses[[#This Row],[Score16]],Form_Responses[[#This Row],[Score10]],Form_Responses[[#This Row],[Score11]],Form_Responses[[#This Row],[Score12]],Form_Responses[[#This Row],[Score13]],Form_Responses[[#This Row],[Score14]],Form_Responses[[#This Row],[Score15]])</f>
        <v>6</v>
      </c>
      <c r="AT73" s="4" t="str">
        <f>IF(Form_Responses[[#This Row],[Anxiety Score]]&lt;=4,"Minimal anxiety",IF(Form_Responses[[#This Row],[Anxiety Score]]&lt;=9,"Mild anxiety",IF(Form_Responses[[#This Row],[Anxiety Score]]&lt;=14,"Moderate anxiety","Severe anxiety")))</f>
        <v xml:space="preserve">Mild anxiety</v>
      </c>
      <c r="AU73" s="3" t="s">
        <v>89</v>
      </c>
      <c r="AV73" s="4">
        <f>IF(Form_Responses[[#This Row],[1. In the last month, how often have you been upset because of unexpected situations related to academics, finances, or personal life?]]="Never",0,IF(Form_Responses[[#This Row],[1. In the last month, how often have you been upset because of unexpected situations related to academics, finances, or personal life?]]="Almost never",1,IF(Form_Responses[[#This Row],[1. In the last month, how often have you been upset because of unexpected situations related to academics, finances, or personal life?]]="Sometimes",2,IF(Form_Responses[[#This Row],[1. In the last month, how often have you been upset because of unexpected situations related to academics, finances, or personal life?]]="Fairly often",3,4))))</f>
        <v>2</v>
      </c>
      <c r="AW73" s="3" t="s">
        <v>88</v>
      </c>
      <c r="AX73" s="5">
        <f>IF(Form_Responses[[#This Row],[2. In the last month, how often have you felt unable to control important things in your academic or personal life?]]="Never",0,IF(Form_Responses[[#This Row],[2. In the last month, how often have you felt unable to control important things in your academic or personal life?]]="Almost never",1,IF(Form_Responses[[#This Row],[2. In the last month, how often have you felt unable to control important things in your academic or personal life?]]="Sometimes",2,IF(Form_Responses[[#This Row],[2. In the last month, how often have you felt unable to control important things in your academic or personal life?]]="Fairly often",3,4))))</f>
        <v>3</v>
      </c>
      <c r="AY73" s="3" t="s">
        <v>105</v>
      </c>
      <c r="AZ73" s="4">
        <f>IF(Form_Responses[[#This Row],[3. In the last month, how often have you felt nervous or stressed because of university responsibilities or personal challenges?]]="Never",0,IF(Form_Responses[[#This Row],[3. In the last month, how often have you felt nervous or stressed because of university responsibilities or personal challenges?]]="Almost never",1,IF(Form_Responses[[#This Row],[3. In the last month, how often have you felt nervous or stressed because of university responsibilities or personal challenges?]]="Sometimes",2,IF(Form_Responses[[#This Row],[3. In the last month, how often have you felt nervous or stressed because of university responsibilities or personal challenges?]]="Fairly often",3,4))))</f>
        <v>4</v>
      </c>
      <c r="BA73" s="3" t="s">
        <v>89</v>
      </c>
      <c r="BB73" s="4">
        <f>IF(Form_Responses[[#This Row],[4. In the last month, how often have you felt confident about your ability to handle academic or personal problems?]]="Never",4,IF(Form_Responses[[#This Row],[4. In the last month, how often have you felt confident about your ability to handle academic or personal problems?]]="Almost never",3,IF(Form_Responses[[#This Row],[4. In the last month, how often have you felt confident about your ability to handle academic or personal problems?]]="Sometimes",2,IF(Form_Responses[[#This Row],[4. In the last month, how often have you felt confident about your ability to handle academic or personal problems?]]="Fairly often",1,0))))</f>
        <v>2</v>
      </c>
      <c r="BC73" s="3" t="s">
        <v>88</v>
      </c>
      <c r="BD73" s="4">
        <f>IF(Form_Responses[[#This Row],[5. In the last month, how often have you felt that things were going well in your studies or personal life?]]="Never",4,IF(Form_Responses[[#This Row],[5. In the last month, how often have you felt that things were going well in your studies or personal life?]]="Almost never",3,IF(Form_Responses[[#This Row],[5. In the last month, how often have you felt that things were going well in your studies or personal life?]]="Sometimes",2,IF(Form_Responses[[#This Row],[5. In the last month, how often have you felt that things were going well in your studies or personal life?]]="Fairly often",1,0))))</f>
        <v>1</v>
      </c>
      <c r="BE73" s="3" t="s">
        <v>90</v>
      </c>
      <c r="BF73" s="4">
        <f>IF(Form_Responses[[#This Row],[6. In the last month, how often have you felt unable to cope with coursework, deadlines, or daily responsibilities?]]="Never",0,IF(Form_Responses[[#This Row],[6. In the last month, how often have you felt unable to cope with coursework, deadlines, or daily responsibilities?]]="Almost never",1,IF(Form_Responses[[#This Row],[6. In the last month, how often have you felt unable to cope with coursework, deadlines, or daily responsibilities?]]="Sometimes",2,IF(Form_Responses[[#This Row],[6. In the last month, how often have you felt unable to cope with coursework, deadlines, or daily responsibilities?]]="Fairly often",3,4))))</f>
        <v>1</v>
      </c>
      <c r="BG73" s="3" t="s">
        <v>88</v>
      </c>
      <c r="BH73" s="4">
        <f>IF(Form_Responses[[#This Row],[7. In the last month, how often have you been able to control irritations or frustrations in your life?]]="Never",4,IF(Form_Responses[[#This Row],[7. In the last month, how often have you been able to control irritations or frustrations in your life?]]="Almost never",3,IF(Form_Responses[[#This Row],[7. In the last month, how often have you been able to control irritations or frustrations in your life?]]="Sometimes",2,IF(Form_Responses[[#This Row],[7. In the last month, how often have you been able to control irritations or frustrations in your life?]]="Fairly often",1,0))))</f>
        <v>1</v>
      </c>
      <c r="BI73" s="3" t="s">
        <v>89</v>
      </c>
      <c r="BJ73" s="4">
        <f>IF(Form_Responses[[#This Row],[8. In the last month, how often have you felt that you were managing your academic and personal responsibilities well?]]="Never",4,IF(Form_Responses[[#This Row],[8. In the last month, how often have you felt that you were managing your academic and personal responsibilities well?]]="Almost never",3,IF(Form_Responses[[#This Row],[8. In the last month, how often have you felt that you were managing your academic and personal responsibilities well?]]="Sometimes",2,IF(Form_Responses[[#This Row],[8. In the last month, how often have you felt that you were managing your academic and personal responsibilities well?]]="Fairly often",1,0))))</f>
        <v>2</v>
      </c>
      <c r="BK73" s="3" t="s">
        <v>88</v>
      </c>
      <c r="BL73" s="5">
        <f>IF(Form_Responses[[#This Row],[9. In the last month, how often have you been angered or frustrated by situations outside your control, such as finances, academics, or relationships?]]="Never",0,IF(Form_Responses[[#This Row],[9. In the last month, how often have you been angered or frustrated by situations outside your control, such as finances, academics, or relationships?]]="Almost never",1,IF(Form_Responses[[#This Row],[9. In the last month, how often have you been angered or frustrated by situations outside your control, such as finances, academics, or relationships?]]="Sometimes",2,IF(Form_Responses[[#This Row],[9. In the last month, how often have you been angered or frustrated by situations outside your control, such as finances, academics, or relationships?]]="Fairly often",3,4))))</f>
        <v>3</v>
      </c>
      <c r="BM73" s="3" t="s">
        <v>89</v>
      </c>
      <c r="BN73" s="4">
        <f>IF(Form_Responses[[#This Row],[10. In the last month, how often have you felt that difficulties were piling up so much that you could not overcome them?]]="Never",0,IF(Form_Responses[[#This Row],[10. In the last month, how often have you felt that difficulties were piling up so much that you could not overcome them?]]="Almost never",1,IF(Form_Responses[[#This Row],[10. In the last month, how often have you felt that difficulties were piling up so much that you could not overcome them?]]="Sometimes",2,IF(Form_Responses[[#This Row],[10. In the last month, how often have you felt that difficulties were piling up so much that you could not overcome them?]]="Fairly often",3,4))))</f>
        <v>2</v>
      </c>
      <c r="BO73" s="4">
        <f>SUM(Form_Responses[[#This Row],[Score17]],Form_Responses[[#This Row],[Score18]],Form_Responses[[#This Row],[Score19]],Form_Responses[[#This Row],[Score20]],Form_Responses[[#This Row],[Score21]],Form_Responses[[#This Row],[Score22]],Form_Responses[[#This Row],[Score23]],Form_Responses[[#This Row],[Score24]],Form_Responses[[#This Row],[Score25]],Form_Responses[[#This Row],[Score26]])</f>
        <v>21</v>
      </c>
      <c r="BP73" s="4" t="str">
        <f>IF(Form_Responses[[#This Row],[Anxiety Score2]]&lt;=13,"Low stress",IF(Form_Responses[[#This Row],[Anxiety Score2]]&lt;=26,"Moderate stress","High stress"))</f>
        <v xml:space="preserve">Moderate stress</v>
      </c>
      <c r="BQ73" s="3" t="s">
        <v>91</v>
      </c>
      <c r="BR73" s="3" t="s">
        <v>106</v>
      </c>
      <c r="BS73" s="3" t="s">
        <v>429</v>
      </c>
      <c r="BT73" s="3" t="s">
        <v>264</v>
      </c>
      <c r="BU73" s="3" t="s">
        <v>106</v>
      </c>
      <c r="BV73" s="3" t="s">
        <v>430</v>
      </c>
      <c r="BW73" s="3" t="s">
        <v>431</v>
      </c>
      <c r="BX73" s="3" t="s">
        <v>432</v>
      </c>
    </row>
    <row r="74" ht="22.5" customHeight="1">
      <c r="A74" s="2">
        <v>46203.39595622685</v>
      </c>
      <c r="B74" s="3" t="s">
        <v>76</v>
      </c>
      <c r="C74" s="3" t="s">
        <v>77</v>
      </c>
      <c r="D74" s="3" t="s">
        <v>112</v>
      </c>
      <c r="E74" s="3" t="s">
        <v>197</v>
      </c>
      <c r="F74" s="3" t="s">
        <v>433</v>
      </c>
      <c r="G74" s="3" t="s">
        <v>81</v>
      </c>
      <c r="H74" s="3" t="s">
        <v>122</v>
      </c>
      <c r="I74" s="3" t="s">
        <v>83</v>
      </c>
      <c r="J74" s="3" t="s">
        <v>84</v>
      </c>
      <c r="K74" s="3" t="s">
        <v>142</v>
      </c>
      <c r="L74" s="4">
        <f>IF(K74="Not at all",0,IF(K74="Several days",1,IF(K74="More than half the days",2,3)))</f>
        <v>3</v>
      </c>
      <c r="M74" s="3" t="s">
        <v>85</v>
      </c>
      <c r="N74" s="4">
        <f>IF(M74="Not at all",0,IF(M74="Several days",1,IF(M74="More than half the days",2,3)))</f>
        <v>0</v>
      </c>
      <c r="O74" s="3" t="s">
        <v>86</v>
      </c>
      <c r="P74" s="5">
        <f>IF(O74="Not at all",0,IF(O74="Several days",1,IF(O74="More than half the days",2,3)))</f>
        <v>1</v>
      </c>
      <c r="Q74" s="3" t="s">
        <v>86</v>
      </c>
      <c r="R74" s="4">
        <f>IF(Q74="Not at all",0,IF(Q74="Several days",1,IF(Q74="More than half the days",2,3)))</f>
        <v>1</v>
      </c>
      <c r="S74" s="3" t="s">
        <v>85</v>
      </c>
      <c r="T74" s="4">
        <f>IF(S74="Not at all",0,IF(S74="Several days",1,IF(S74="More than half the days",2,3)))</f>
        <v>0</v>
      </c>
      <c r="U74" s="3" t="s">
        <v>85</v>
      </c>
      <c r="V74" s="4">
        <f>IF(U74="Not at all",0,IF(U74="Several days",1,IF(U74="More than half the days",2,3)))</f>
        <v>0</v>
      </c>
      <c r="W74" s="3" t="s">
        <v>86</v>
      </c>
      <c r="X74" s="4">
        <f>IF(W74="Not at all",0,IF(W74="Several days",1,IF(W74="More than half the days",2,3)))</f>
        <v>1</v>
      </c>
      <c r="Y74" s="3" t="s">
        <v>86</v>
      </c>
      <c r="Z74" s="4">
        <f>IF(Y74="Not at all",0,IF(Y74="Several days",1,IF(Y74="More than half the days",2,3)))</f>
        <v>1</v>
      </c>
      <c r="AA74" s="3" t="s">
        <v>85</v>
      </c>
      <c r="AB74" s="4">
        <f>IF(AA74="Not at all",0,IF(AA74="Several days",1,IF(AA74="More than half the days",2,3)))</f>
        <v>0</v>
      </c>
      <c r="AC74" s="4">
        <f>SUM(Form_Responses[[#This Row],[Score]],Form_Responses[[#This Row],[Score2]],Form_Responses[[#This Row],[Score3]],Form_Responses[[#This Row],[Score4]],Form_Responses[[#This Row],[Score5]],Form_Responses[[#This Row],[Score6]],Form_Responses[[#This Row],[Score7]],Form_Responses[[#This Row],[Score8]],Form_Responses[[#This Row],[Score9]])</f>
        <v>7</v>
      </c>
      <c r="AD74" s="4" t="str">
        <f>IF(Form_Responses[[#This Row],[Depression Score ]]&lt;=4,"Minimal symptoms",IF(Form_Responses[[#This Row],[Depression Score ]]&lt;=9,"Mild Depression",IF(Form_Responses[[#This Row],[Depression Score ]]&lt;=14,"Moderate depression",IF(Form_Responses[[#This Row],[Depression Score ]]&lt;=19,"Moderately severe depression","Severe depression"))))</f>
        <v xml:space="preserve">Mild Depression</v>
      </c>
      <c r="AE74" s="3" t="s">
        <v>87</v>
      </c>
      <c r="AF74" s="4">
        <f>IF(AE74="Not at all",0,IF(AE74="Several days",1,IF(AE74="More than half the days",2,3)))</f>
        <v>2</v>
      </c>
      <c r="AG74" s="3" t="s">
        <v>86</v>
      </c>
      <c r="AH74" s="4">
        <f>IF(AG74="Not at all",0,IF(AG74="Several days",1,IF(AG74="More than half the days",2,3)))</f>
        <v>1</v>
      </c>
      <c r="AI74" s="3" t="s">
        <v>85</v>
      </c>
      <c r="AJ74" s="4">
        <f>IF(AI74="Not at all",0,IF(AI74="Several days",1,IF(AI74="More than half the days",2,3)))</f>
        <v>0</v>
      </c>
      <c r="AK74" s="3" t="s">
        <v>104</v>
      </c>
      <c r="AL74" s="4">
        <f>IF(AK74="Not at all",0,IF(AK74="Several days",1,IF(AK74="More than half the days",2,3)))</f>
        <v>3</v>
      </c>
      <c r="AM74" s="3" t="s">
        <v>85</v>
      </c>
      <c r="AN74" s="4">
        <f>IF(AM74="Not at all",0,IF(AM74="Several days",1,IF(AM74="More than half the days",2,3)))</f>
        <v>0</v>
      </c>
      <c r="AO74" s="3" t="s">
        <v>85</v>
      </c>
      <c r="AP74" s="4">
        <f>IF(AO74="Not at all",0,IF(AO74="Several days",1,IF(AO74="More than half the days",2,3)))</f>
        <v>0</v>
      </c>
      <c r="AQ74" s="3" t="s">
        <v>86</v>
      </c>
      <c r="AR74" s="4">
        <f>IF(AQ74="Not at all",0,IF(AQ74="Several days",1,IF(AQ74="More than half the days",2,3)))</f>
        <v>1</v>
      </c>
      <c r="AS74" s="4">
        <f>SUM(Form_Responses[[#This Row],[Score16]],Form_Responses[[#This Row],[Score10]],Form_Responses[[#This Row],[Score11]],Form_Responses[[#This Row],[Score12]],Form_Responses[[#This Row],[Score13]],Form_Responses[[#This Row],[Score14]],Form_Responses[[#This Row],[Score15]])</f>
        <v>7</v>
      </c>
      <c r="AT74" s="4" t="str">
        <f>IF(Form_Responses[[#This Row],[Anxiety Score]]&lt;=4,"Minimal anxiety",IF(Form_Responses[[#This Row],[Anxiety Score]]&lt;=9,"Mild anxiety",IF(Form_Responses[[#This Row],[Anxiety Score]]&lt;=14,"Moderate anxiety","Severe anxiety")))</f>
        <v xml:space="preserve">Mild anxiety</v>
      </c>
      <c r="AU74" s="3" t="s">
        <v>89</v>
      </c>
      <c r="AV74" s="4">
        <f>IF(Form_Responses[[#This Row],[1. In the last month, how often have you been upset because of unexpected situations related to academics, finances, or personal life?]]="Never",0,IF(Form_Responses[[#This Row],[1. In the last month, how often have you been upset because of unexpected situations related to academics, finances, or personal life?]]="Almost never",1,IF(Form_Responses[[#This Row],[1. In the last month, how often have you been upset because of unexpected situations related to academics, finances, or personal life?]]="Sometimes",2,IF(Form_Responses[[#This Row],[1. In the last month, how often have you been upset because of unexpected situations related to academics, finances, or personal life?]]="Fairly often",3,4))))</f>
        <v>2</v>
      </c>
      <c r="AW74" s="3" t="s">
        <v>89</v>
      </c>
      <c r="AX74" s="5">
        <f>IF(Form_Responses[[#This Row],[2. In the last month, how often have you felt unable to control important things in your academic or personal life?]]="Never",0,IF(Form_Responses[[#This Row],[2. In the last month, how often have you felt unable to control important things in your academic or personal life?]]="Almost never",1,IF(Form_Responses[[#This Row],[2. In the last month, how often have you felt unable to control important things in your academic or personal life?]]="Sometimes",2,IF(Form_Responses[[#This Row],[2. In the last month, how often have you felt unable to control important things in your academic or personal life?]]="Fairly often",3,4))))</f>
        <v>2</v>
      </c>
      <c r="AY74" s="3" t="s">
        <v>88</v>
      </c>
      <c r="AZ74" s="4">
        <f>IF(Form_Responses[[#This Row],[3. In the last month, how often have you felt nervous or stressed because of university responsibilities or personal challenges?]]="Never",0,IF(Form_Responses[[#This Row],[3. In the last month, how often have you felt nervous or stressed because of university responsibilities or personal challenges?]]="Almost never",1,IF(Form_Responses[[#This Row],[3. In the last month, how often have you felt nervous or stressed because of university responsibilities or personal challenges?]]="Sometimes",2,IF(Form_Responses[[#This Row],[3. In the last month, how often have you felt nervous or stressed because of university responsibilities or personal challenges?]]="Fairly often",3,4))))</f>
        <v>3</v>
      </c>
      <c r="BA74" s="3" t="s">
        <v>88</v>
      </c>
      <c r="BB74" s="4">
        <f>IF(Form_Responses[[#This Row],[4. In the last month, how often have you felt confident about your ability to handle academic or personal problems?]]="Never",4,IF(Form_Responses[[#This Row],[4. In the last month, how often have you felt confident about your ability to handle academic or personal problems?]]="Almost never",3,IF(Form_Responses[[#This Row],[4. In the last month, how often have you felt confident about your ability to handle academic or personal problems?]]="Sometimes",2,IF(Form_Responses[[#This Row],[4. In the last month, how often have you felt confident about your ability to handle academic or personal problems?]]="Fairly often",1,0))))</f>
        <v>1</v>
      </c>
      <c r="BC74" s="3" t="s">
        <v>89</v>
      </c>
      <c r="BD74" s="4">
        <f>IF(Form_Responses[[#This Row],[5. In the last month, how often have you felt that things were going well in your studies or personal life?]]="Never",4,IF(Form_Responses[[#This Row],[5. In the last month, how often have you felt that things were going well in your studies or personal life?]]="Almost never",3,IF(Form_Responses[[#This Row],[5. In the last month, how often have you felt that things were going well in your studies or personal life?]]="Sometimes",2,IF(Form_Responses[[#This Row],[5. In the last month, how often have you felt that things were going well in your studies or personal life?]]="Fairly often",1,0))))</f>
        <v>2</v>
      </c>
      <c r="BE74" s="3" t="s">
        <v>90</v>
      </c>
      <c r="BF74" s="4">
        <f>IF(Form_Responses[[#This Row],[6. In the last month, how often have you felt unable to cope with coursework, deadlines, or daily responsibilities?]]="Never",0,IF(Form_Responses[[#This Row],[6. In the last month, how often have you felt unable to cope with coursework, deadlines, or daily responsibilities?]]="Almost never",1,IF(Form_Responses[[#This Row],[6. In the last month, how often have you felt unable to cope with coursework, deadlines, or daily responsibilities?]]="Sometimes",2,IF(Form_Responses[[#This Row],[6. In the last month, how often have you felt unable to cope with coursework, deadlines, or daily responsibilities?]]="Fairly often",3,4))))</f>
        <v>1</v>
      </c>
      <c r="BG74" s="3" t="s">
        <v>105</v>
      </c>
      <c r="BH74" s="4">
        <f>IF(Form_Responses[[#This Row],[7. In the last month, how often have you been able to control irritations or frustrations in your life?]]="Never",4,IF(Form_Responses[[#This Row],[7. In the last month, how often have you been able to control irritations or frustrations in your life?]]="Almost never",3,IF(Form_Responses[[#This Row],[7. In the last month, how often have you been able to control irritations or frustrations in your life?]]="Sometimes",2,IF(Form_Responses[[#This Row],[7. In the last month, how often have you been able to control irritations or frustrations in your life?]]="Fairly often",1,0))))</f>
        <v>0</v>
      </c>
      <c r="BI74" s="3" t="s">
        <v>88</v>
      </c>
      <c r="BJ74" s="4">
        <f>IF(Form_Responses[[#This Row],[8. In the last month, how often have you felt that you were managing your academic and personal responsibilities well?]]="Never",4,IF(Form_Responses[[#This Row],[8. In the last month, how often have you felt that you were managing your academic and personal responsibilities well?]]="Almost never",3,IF(Form_Responses[[#This Row],[8. In the last month, how often have you felt that you were managing your academic and personal responsibilities well?]]="Sometimes",2,IF(Form_Responses[[#This Row],[8. In the last month, how often have you felt that you were managing your academic and personal responsibilities well?]]="Fairly often",1,0))))</f>
        <v>1</v>
      </c>
      <c r="BK74" s="3" t="s">
        <v>89</v>
      </c>
      <c r="BL74" s="5">
        <f>IF(Form_Responses[[#This Row],[9. In the last month, how often have you been angered or frustrated by situations outside your control, such as finances, academics, or relationships?]]="Never",0,IF(Form_Responses[[#This Row],[9. In the last month, how often have you been angered or frustrated by situations outside your control, such as finances, academics, or relationships?]]="Almost never",1,IF(Form_Responses[[#This Row],[9. In the last month, how often have you been angered or frustrated by situations outside your control, such as finances, academics, or relationships?]]="Sometimes",2,IF(Form_Responses[[#This Row],[9. In the last month, how often have you been angered or frustrated by situations outside your control, such as finances, academics, or relationships?]]="Fairly often",3,4))))</f>
        <v>2</v>
      </c>
      <c r="BM74" s="3" t="s">
        <v>89</v>
      </c>
      <c r="BN74" s="4">
        <f>IF(Form_Responses[[#This Row],[10. In the last month, how often have you felt that difficulties were piling up so much that you could not overcome them?]]="Never",0,IF(Form_Responses[[#This Row],[10. In the last month, how often have you felt that difficulties were piling up so much that you could not overcome them?]]="Almost never",1,IF(Form_Responses[[#This Row],[10. In the last month, how often have you felt that difficulties were piling up so much that you could not overcome them?]]="Sometimes",2,IF(Form_Responses[[#This Row],[10. In the last month, how often have you felt that difficulties were piling up so much that you could not overcome them?]]="Fairly often",3,4))))</f>
        <v>2</v>
      </c>
      <c r="BO74" s="4">
        <f>SUM(Form_Responses[[#This Row],[Score17]],Form_Responses[[#This Row],[Score18]],Form_Responses[[#This Row],[Score19]],Form_Responses[[#This Row],[Score20]],Form_Responses[[#This Row],[Score21]],Form_Responses[[#This Row],[Score22]],Form_Responses[[#This Row],[Score23]],Form_Responses[[#This Row],[Score24]],Form_Responses[[#This Row],[Score25]],Form_Responses[[#This Row],[Score26]])</f>
        <v>16</v>
      </c>
      <c r="BP74" s="4" t="str">
        <f>IF(Form_Responses[[#This Row],[Anxiety Score2]]&lt;=13,"Low stress",IF(Form_Responses[[#This Row],[Anxiety Score2]]&lt;=26,"Moderate stress","High stress"))</f>
        <v xml:space="preserve">Moderate stress</v>
      </c>
      <c r="BQ74" s="3" t="s">
        <v>91</v>
      </c>
      <c r="BR74" s="3" t="s">
        <v>91</v>
      </c>
      <c r="BS74" s="3" t="s">
        <v>434</v>
      </c>
      <c r="BT74" s="3" t="s">
        <v>220</v>
      </c>
      <c r="BU74" s="3" t="s">
        <v>76</v>
      </c>
      <c r="BV74" s="3" t="s">
        <v>167</v>
      </c>
      <c r="BW74" s="3" t="s">
        <v>435</v>
      </c>
      <c r="BX74" s="3" t="s">
        <v>436</v>
      </c>
    </row>
    <row r="75" ht="22.5" customHeight="1">
      <c r="A75" s="2">
        <v>46203.719852349532</v>
      </c>
      <c r="B75" s="3" t="s">
        <v>76</v>
      </c>
      <c r="C75" s="3" t="s">
        <v>154</v>
      </c>
      <c r="D75" s="3" t="s">
        <v>78</v>
      </c>
      <c r="E75" s="3" t="s">
        <v>98</v>
      </c>
      <c r="F75" s="3" t="s">
        <v>241</v>
      </c>
      <c r="G75" s="3" t="s">
        <v>81</v>
      </c>
      <c r="H75" s="3" t="s">
        <v>101</v>
      </c>
      <c r="I75" s="3" t="s">
        <v>83</v>
      </c>
      <c r="J75" s="3" t="s">
        <v>84</v>
      </c>
      <c r="K75" s="3" t="s">
        <v>86</v>
      </c>
      <c r="L75" s="4">
        <f>IF(K75="Not at all",0,IF(K75="Several days",1,IF(K75="More than half the days",2,3)))</f>
        <v>1</v>
      </c>
      <c r="M75" s="3" t="s">
        <v>85</v>
      </c>
      <c r="N75" s="4">
        <f>IF(M75="Not at all",0,IF(M75="Several days",1,IF(M75="More than half the days",2,3)))</f>
        <v>0</v>
      </c>
      <c r="O75" s="3" t="s">
        <v>87</v>
      </c>
      <c r="P75" s="5">
        <f>IF(O75="Not at all",0,IF(O75="Several days",1,IF(O75="More than half the days",2,3)))</f>
        <v>2</v>
      </c>
      <c r="Q75" s="3" t="s">
        <v>87</v>
      </c>
      <c r="R75" s="4">
        <f>IF(Q75="Not at all",0,IF(Q75="Several days",1,IF(Q75="More than half the days",2,3)))</f>
        <v>2</v>
      </c>
      <c r="S75" s="3" t="s">
        <v>85</v>
      </c>
      <c r="T75" s="4">
        <f>IF(S75="Not at all",0,IF(S75="Several days",1,IF(S75="More than half the days",2,3)))</f>
        <v>0</v>
      </c>
      <c r="U75" s="3" t="s">
        <v>86</v>
      </c>
      <c r="V75" s="4">
        <f>IF(U75="Not at all",0,IF(U75="Several days",1,IF(U75="More than half the days",2,3)))</f>
        <v>1</v>
      </c>
      <c r="W75" s="3" t="s">
        <v>104</v>
      </c>
      <c r="X75" s="4">
        <f>IF(W75="Not at all",0,IF(W75="Several days",1,IF(W75="More than half the days",2,3)))</f>
        <v>3</v>
      </c>
      <c r="Y75" s="3" t="s">
        <v>85</v>
      </c>
      <c r="Z75" s="4">
        <f>IF(Y75="Not at all",0,IF(Y75="Several days",1,IF(Y75="More than half the days",2,3)))</f>
        <v>0</v>
      </c>
      <c r="AA75" s="3" t="s">
        <v>85</v>
      </c>
      <c r="AB75" s="4">
        <f>IF(AA75="Not at all",0,IF(AA75="Several days",1,IF(AA75="More than half the days",2,3)))</f>
        <v>0</v>
      </c>
      <c r="AC75" s="4">
        <f>SUM(Form_Responses[[#This Row],[Score]],Form_Responses[[#This Row],[Score2]],Form_Responses[[#This Row],[Score3]],Form_Responses[[#This Row],[Score4]],Form_Responses[[#This Row],[Score5]],Form_Responses[[#This Row],[Score6]],Form_Responses[[#This Row],[Score7]],Form_Responses[[#This Row],[Score8]],Form_Responses[[#This Row],[Score9]])</f>
        <v>9</v>
      </c>
      <c r="AD75" s="4" t="str">
        <f>IF(Form_Responses[[#This Row],[Depression Score ]]&lt;=4,"Minimal symptoms",IF(Form_Responses[[#This Row],[Depression Score ]]&lt;=9,"Mild Depression",IF(Form_Responses[[#This Row],[Depression Score ]]&lt;=14,"Moderate depression",IF(Form_Responses[[#This Row],[Depression Score ]]&lt;=19,"Moderately severe depression","Severe depression"))))</f>
        <v xml:space="preserve">Mild Depression</v>
      </c>
      <c r="AE75" s="3" t="s">
        <v>85</v>
      </c>
      <c r="AF75" s="4">
        <f>IF(AE75="Not at all",0,IF(AE75="Several days",1,IF(AE75="More than half the days",2,3)))</f>
        <v>0</v>
      </c>
      <c r="AG75" s="3" t="s">
        <v>85</v>
      </c>
      <c r="AH75" s="4">
        <f>IF(AG75="Not at all",0,IF(AG75="Several days",1,IF(AG75="More than half the days",2,3)))</f>
        <v>0</v>
      </c>
      <c r="AI75" s="3" t="s">
        <v>85</v>
      </c>
      <c r="AJ75" s="4">
        <f>IF(AI75="Not at all",0,IF(AI75="Several days",1,IF(AI75="More than half the days",2,3)))</f>
        <v>0</v>
      </c>
      <c r="AK75" s="3" t="s">
        <v>86</v>
      </c>
      <c r="AL75" s="4">
        <f>IF(AK75="Not at all",0,IF(AK75="Several days",1,IF(AK75="More than half the days",2,3)))</f>
        <v>1</v>
      </c>
      <c r="AM75" s="3" t="s">
        <v>85</v>
      </c>
      <c r="AN75" s="4">
        <f>IF(AM75="Not at all",0,IF(AM75="Several days",1,IF(AM75="More than half the days",2,3)))</f>
        <v>0</v>
      </c>
      <c r="AO75" s="3" t="s">
        <v>85</v>
      </c>
      <c r="AP75" s="4">
        <f>IF(AO75="Not at all",0,IF(AO75="Several days",1,IF(AO75="More than half the days",2,3)))</f>
        <v>0</v>
      </c>
      <c r="AQ75" s="3" t="s">
        <v>85</v>
      </c>
      <c r="AR75" s="4">
        <f>IF(AQ75="Not at all",0,IF(AQ75="Several days",1,IF(AQ75="More than half the days",2,3)))</f>
        <v>0</v>
      </c>
      <c r="AS75" s="4">
        <f>SUM(Form_Responses[[#This Row],[Score16]],Form_Responses[[#This Row],[Score10]],Form_Responses[[#This Row],[Score11]],Form_Responses[[#This Row],[Score12]],Form_Responses[[#This Row],[Score13]],Form_Responses[[#This Row],[Score14]],Form_Responses[[#This Row],[Score15]])</f>
        <v>1</v>
      </c>
      <c r="AT75" s="4" t="str">
        <f>IF(Form_Responses[[#This Row],[Anxiety Score]]&lt;=4,"Minimal anxiety",IF(Form_Responses[[#This Row],[Anxiety Score]]&lt;=9,"Mild anxiety",IF(Form_Responses[[#This Row],[Anxiety Score]]&lt;=14,"Moderate anxiety","Severe anxiety")))</f>
        <v xml:space="preserve">Minimal anxiety</v>
      </c>
      <c r="AU75" s="3" t="s">
        <v>89</v>
      </c>
      <c r="AV75" s="4">
        <f>IF(Form_Responses[[#This Row],[1. In the last month, how often have you been upset because of unexpected situations related to academics, finances, or personal life?]]="Never",0,IF(Form_Responses[[#This Row],[1. In the last month, how often have you been upset because of unexpected situations related to academics, finances, or personal life?]]="Almost never",1,IF(Form_Responses[[#This Row],[1. In the last month, how often have you been upset because of unexpected situations related to academics, finances, or personal life?]]="Sometimes",2,IF(Form_Responses[[#This Row],[1. In the last month, how often have you been upset because of unexpected situations related to academics, finances, or personal life?]]="Fairly often",3,4))))</f>
        <v>2</v>
      </c>
      <c r="AW75" s="3" t="s">
        <v>89</v>
      </c>
      <c r="AX75" s="5">
        <f>IF(Form_Responses[[#This Row],[2. In the last month, how often have you felt unable to control important things in your academic or personal life?]]="Never",0,IF(Form_Responses[[#This Row],[2. In the last month, how often have you felt unable to control important things in your academic or personal life?]]="Almost never",1,IF(Form_Responses[[#This Row],[2. In the last month, how often have you felt unable to control important things in your academic or personal life?]]="Sometimes",2,IF(Form_Responses[[#This Row],[2. In the last month, how often have you felt unable to control important things in your academic or personal life?]]="Fairly often",3,4))))</f>
        <v>2</v>
      </c>
      <c r="AY75" s="3" t="s">
        <v>89</v>
      </c>
      <c r="AZ75" s="4">
        <f>IF(Form_Responses[[#This Row],[3. In the last month, how often have you felt nervous or stressed because of university responsibilities or personal challenges?]]="Never",0,IF(Form_Responses[[#This Row],[3. In the last month, how often have you felt nervous or stressed because of university responsibilities or personal challenges?]]="Almost never",1,IF(Form_Responses[[#This Row],[3. In the last month, how often have you felt nervous or stressed because of university responsibilities or personal challenges?]]="Sometimes",2,IF(Form_Responses[[#This Row],[3. In the last month, how often have you felt nervous or stressed because of university responsibilities or personal challenges?]]="Fairly often",3,4))))</f>
        <v>2</v>
      </c>
      <c r="BA75" s="3" t="s">
        <v>90</v>
      </c>
      <c r="BB75" s="4">
        <f>IF(Form_Responses[[#This Row],[4. In the last month, how often have you felt confident about your ability to handle academic or personal problems?]]="Never",4,IF(Form_Responses[[#This Row],[4. In the last month, how often have you felt confident about your ability to handle academic or personal problems?]]="Almost never",3,IF(Form_Responses[[#This Row],[4. In the last month, how often have you felt confident about your ability to handle academic or personal problems?]]="Sometimes",2,IF(Form_Responses[[#This Row],[4. In the last month, how often have you felt confident about your ability to handle academic or personal problems?]]="Fairly often",1,0))))</f>
        <v>3</v>
      </c>
      <c r="BC75" s="3" t="s">
        <v>88</v>
      </c>
      <c r="BD75" s="4">
        <f>IF(Form_Responses[[#This Row],[5. In the last month, how often have you felt that things were going well in your studies or personal life?]]="Never",4,IF(Form_Responses[[#This Row],[5. In the last month, how often have you felt that things were going well in your studies or personal life?]]="Almost never",3,IF(Form_Responses[[#This Row],[5. In the last month, how often have you felt that things were going well in your studies or personal life?]]="Sometimes",2,IF(Form_Responses[[#This Row],[5. In the last month, how often have you felt that things were going well in your studies or personal life?]]="Fairly often",1,0))))</f>
        <v>1</v>
      </c>
      <c r="BE75" s="3" t="s">
        <v>88</v>
      </c>
      <c r="BF75" s="4">
        <f>IF(Form_Responses[[#This Row],[6. In the last month, how often have you felt unable to cope with coursework, deadlines, or daily responsibilities?]]="Never",0,IF(Form_Responses[[#This Row],[6. In the last month, how often have you felt unable to cope with coursework, deadlines, or daily responsibilities?]]="Almost never",1,IF(Form_Responses[[#This Row],[6. In the last month, how often have you felt unable to cope with coursework, deadlines, or daily responsibilities?]]="Sometimes",2,IF(Form_Responses[[#This Row],[6. In the last month, how often have you felt unable to cope with coursework, deadlines, or daily responsibilities?]]="Fairly often",3,4))))</f>
        <v>3</v>
      </c>
      <c r="BG75" s="3" t="s">
        <v>89</v>
      </c>
      <c r="BH75" s="4">
        <f>IF(Form_Responses[[#This Row],[7. In the last month, how often have you been able to control irritations or frustrations in your life?]]="Never",4,IF(Form_Responses[[#This Row],[7. In the last month, how often have you been able to control irritations or frustrations in your life?]]="Almost never",3,IF(Form_Responses[[#This Row],[7. In the last month, how often have you been able to control irritations or frustrations in your life?]]="Sometimes",2,IF(Form_Responses[[#This Row],[7. In the last month, how often have you been able to control irritations or frustrations in your life?]]="Fairly often",1,0))))</f>
        <v>2</v>
      </c>
      <c r="BI75" s="3" t="s">
        <v>105</v>
      </c>
      <c r="BJ75" s="4">
        <f>IF(Form_Responses[[#This Row],[8. In the last month, how often have you felt that you were managing your academic and personal responsibilities well?]]="Never",4,IF(Form_Responses[[#This Row],[8. In the last month, how often have you felt that you were managing your academic and personal responsibilities well?]]="Almost never",3,IF(Form_Responses[[#This Row],[8. In the last month, how often have you felt that you were managing your academic and personal responsibilities well?]]="Sometimes",2,IF(Form_Responses[[#This Row],[8. In the last month, how often have you felt that you were managing your academic and personal responsibilities well?]]="Fairly often",1,0))))</f>
        <v>0</v>
      </c>
      <c r="BK75" s="3" t="s">
        <v>89</v>
      </c>
      <c r="BL75" s="5">
        <f>IF(Form_Responses[[#This Row],[9. In the last month, how often have you been angered or frustrated by situations outside your control, such as finances, academics, or relationships?]]="Never",0,IF(Form_Responses[[#This Row],[9. In the last month, how often have you been angered or frustrated by situations outside your control, such as finances, academics, or relationships?]]="Almost never",1,IF(Form_Responses[[#This Row],[9. In the last month, how often have you been angered or frustrated by situations outside your control, such as finances, academics, or relationships?]]="Sometimes",2,IF(Form_Responses[[#This Row],[9. In the last month, how often have you been angered or frustrated by situations outside your control, such as finances, academics, or relationships?]]="Fairly often",3,4))))</f>
        <v>2</v>
      </c>
      <c r="BM75" s="3" t="s">
        <v>88</v>
      </c>
      <c r="BN75" s="4">
        <f>IF(Form_Responses[[#This Row],[10. In the last month, how often have you felt that difficulties were piling up so much that you could not overcome them?]]="Never",0,IF(Form_Responses[[#This Row],[10. In the last month, how often have you felt that difficulties were piling up so much that you could not overcome them?]]="Almost never",1,IF(Form_Responses[[#This Row],[10. In the last month, how often have you felt that difficulties were piling up so much that you could not overcome them?]]="Sometimes",2,IF(Form_Responses[[#This Row],[10. In the last month, how often have you felt that difficulties were piling up so much that you could not overcome them?]]="Fairly often",3,4))))</f>
        <v>3</v>
      </c>
      <c r="BO75" s="4">
        <f>SUM(Form_Responses[[#This Row],[Score17]],Form_Responses[[#This Row],[Score18]],Form_Responses[[#This Row],[Score19]],Form_Responses[[#This Row],[Score20]],Form_Responses[[#This Row],[Score21]],Form_Responses[[#This Row],[Score22]],Form_Responses[[#This Row],[Score23]],Form_Responses[[#This Row],[Score24]],Form_Responses[[#This Row],[Score25]],Form_Responses[[#This Row],[Score26]])</f>
        <v>20</v>
      </c>
      <c r="BP75" s="4" t="str">
        <f>IF(Form_Responses[[#This Row],[Anxiety Score2]]&lt;=13,"Low stress",IF(Form_Responses[[#This Row],[Anxiety Score2]]&lt;=26,"Moderate stress","High stress"))</f>
        <v xml:space="preserve">Moderate stress</v>
      </c>
      <c r="BQ75" s="3" t="s">
        <v>91</v>
      </c>
      <c r="BR75" s="3" t="s">
        <v>76</v>
      </c>
      <c r="BS75" s="3" t="s">
        <v>125</v>
      </c>
      <c r="BT75" s="3" t="s">
        <v>214</v>
      </c>
      <c r="BU75" s="3" t="s">
        <v>76</v>
      </c>
      <c r="BV75" s="3" t="s">
        <v>437</v>
      </c>
      <c r="BW75" s="3" t="s">
        <v>438</v>
      </c>
      <c r="BX75" s="3" t="s">
        <v>439</v>
      </c>
    </row>
    <row r="76" ht="22.5" customHeight="1">
      <c r="A76" s="2">
        <v>46203.884280659724</v>
      </c>
      <c r="B76" s="3" t="s">
        <v>76</v>
      </c>
      <c r="C76" s="3" t="s">
        <v>77</v>
      </c>
      <c r="D76" s="3" t="s">
        <v>78</v>
      </c>
      <c r="E76" s="3" t="s">
        <v>79</v>
      </c>
      <c r="F76" s="3" t="s">
        <v>440</v>
      </c>
      <c r="G76" s="3" t="s">
        <v>81</v>
      </c>
      <c r="H76" s="3" t="s">
        <v>82</v>
      </c>
      <c r="I76" s="3" t="s">
        <v>83</v>
      </c>
      <c r="J76" s="3" t="s">
        <v>84</v>
      </c>
      <c r="K76" s="3" t="s">
        <v>87</v>
      </c>
      <c r="L76" s="4">
        <f>IF(K76="Not at all",0,IF(K76="Several days",1,IF(K76="More than half the days",2,3)))</f>
        <v>2</v>
      </c>
      <c r="M76" s="3" t="s">
        <v>86</v>
      </c>
      <c r="N76" s="4">
        <f>IF(M76="Not at all",0,IF(M76="Several days",1,IF(M76="More than half the days",2,3)))</f>
        <v>1</v>
      </c>
      <c r="O76" s="3" t="s">
        <v>86</v>
      </c>
      <c r="P76" s="5">
        <f>IF(O76="Not at all",0,IF(O76="Several days",1,IF(O76="More than half the days",2,3)))</f>
        <v>1</v>
      </c>
      <c r="Q76" s="3" t="s">
        <v>86</v>
      </c>
      <c r="R76" s="4">
        <f>IF(Q76="Not at all",0,IF(Q76="Several days",1,IF(Q76="More than half the days",2,3)))</f>
        <v>1</v>
      </c>
      <c r="S76" s="3" t="s">
        <v>86</v>
      </c>
      <c r="T76" s="4">
        <f>IF(S76="Not at all",0,IF(S76="Several days",1,IF(S76="More than half the days",2,3)))</f>
        <v>1</v>
      </c>
      <c r="U76" s="3" t="s">
        <v>86</v>
      </c>
      <c r="V76" s="4">
        <f>IF(U76="Not at all",0,IF(U76="Several days",1,IF(U76="More than half the days",2,3)))</f>
        <v>1</v>
      </c>
      <c r="W76" s="3" t="s">
        <v>85</v>
      </c>
      <c r="X76" s="4">
        <f>IF(W76="Not at all",0,IF(W76="Several days",1,IF(W76="More than half the days",2,3)))</f>
        <v>0</v>
      </c>
      <c r="Y76" s="3" t="s">
        <v>85</v>
      </c>
      <c r="Z76" s="4">
        <f>IF(Y76="Not at all",0,IF(Y76="Several days",1,IF(Y76="More than half the days",2,3)))</f>
        <v>0</v>
      </c>
      <c r="AA76" s="3" t="s">
        <v>85</v>
      </c>
      <c r="AB76" s="4">
        <f>IF(AA76="Not at all",0,IF(AA76="Several days",1,IF(AA76="More than half the days",2,3)))</f>
        <v>0</v>
      </c>
      <c r="AC76" s="4">
        <f>SUM(Form_Responses[[#This Row],[Score]],Form_Responses[[#This Row],[Score2]],Form_Responses[[#This Row],[Score3]],Form_Responses[[#This Row],[Score4]],Form_Responses[[#This Row],[Score5]],Form_Responses[[#This Row],[Score6]],Form_Responses[[#This Row],[Score7]],Form_Responses[[#This Row],[Score8]],Form_Responses[[#This Row],[Score9]])</f>
        <v>7</v>
      </c>
      <c r="AD76" s="4" t="str">
        <f>IF(Form_Responses[[#This Row],[Depression Score ]]&lt;=4,"Minimal symptoms",IF(Form_Responses[[#This Row],[Depression Score ]]&lt;=9,"Mild Depression",IF(Form_Responses[[#This Row],[Depression Score ]]&lt;=14,"Moderate depression",IF(Form_Responses[[#This Row],[Depression Score ]]&lt;=19,"Moderately severe depression","Severe depression"))))</f>
        <v xml:space="preserve">Mild Depression</v>
      </c>
      <c r="AE76" s="3" t="s">
        <v>85</v>
      </c>
      <c r="AF76" s="4">
        <f>IF(AE76="Not at all",0,IF(AE76="Several days",1,IF(AE76="More than half the days",2,3)))</f>
        <v>0</v>
      </c>
      <c r="AG76" s="3" t="s">
        <v>86</v>
      </c>
      <c r="AH76" s="4">
        <f>IF(AG76="Not at all",0,IF(AG76="Several days",1,IF(AG76="More than half the days",2,3)))</f>
        <v>1</v>
      </c>
      <c r="AI76" s="3" t="s">
        <v>86</v>
      </c>
      <c r="AJ76" s="4">
        <f>IF(AI76="Not at all",0,IF(AI76="Several days",1,IF(AI76="More than half the days",2,3)))</f>
        <v>1</v>
      </c>
      <c r="AK76" s="3" t="s">
        <v>86</v>
      </c>
      <c r="AL76" s="4">
        <f>IF(AK76="Not at all",0,IF(AK76="Several days",1,IF(AK76="More than half the days",2,3)))</f>
        <v>1</v>
      </c>
      <c r="AM76" s="3" t="s">
        <v>86</v>
      </c>
      <c r="AN76" s="4">
        <f>IF(AM76="Not at all",0,IF(AM76="Several days",1,IF(AM76="More than half the days",2,3)))</f>
        <v>1</v>
      </c>
      <c r="AO76" s="3" t="s">
        <v>85</v>
      </c>
      <c r="AP76" s="4">
        <f>IF(AO76="Not at all",0,IF(AO76="Several days",1,IF(AO76="More than half the days",2,3)))</f>
        <v>0</v>
      </c>
      <c r="AQ76" s="3" t="s">
        <v>85</v>
      </c>
      <c r="AR76" s="4">
        <f>IF(AQ76="Not at all",0,IF(AQ76="Several days",1,IF(AQ76="More than half the days",2,3)))</f>
        <v>0</v>
      </c>
      <c r="AS76" s="4">
        <f>SUM(Form_Responses[[#This Row],[Score16]],Form_Responses[[#This Row],[Score10]],Form_Responses[[#This Row],[Score11]],Form_Responses[[#This Row],[Score12]],Form_Responses[[#This Row],[Score13]],Form_Responses[[#This Row],[Score14]],Form_Responses[[#This Row],[Score15]])</f>
        <v>4</v>
      </c>
      <c r="AT76" s="4" t="str">
        <f>IF(Form_Responses[[#This Row],[Anxiety Score]]&lt;=4,"Minimal anxiety",IF(Form_Responses[[#This Row],[Anxiety Score]]&lt;=9,"Mild anxiety",IF(Form_Responses[[#This Row],[Anxiety Score]]&lt;=14,"Moderate anxiety","Severe anxiety")))</f>
        <v xml:space="preserve">Minimal anxiety</v>
      </c>
      <c r="AU76" s="3" t="s">
        <v>89</v>
      </c>
      <c r="AV76" s="4">
        <f>IF(Form_Responses[[#This Row],[1. In the last month, how often have you been upset because of unexpected situations related to academics, finances, or personal life?]]="Never",0,IF(Form_Responses[[#This Row],[1. In the last month, how often have you been upset because of unexpected situations related to academics, finances, or personal life?]]="Almost never",1,IF(Form_Responses[[#This Row],[1. In the last month, how often have you been upset because of unexpected situations related to academics, finances, or personal life?]]="Sometimes",2,IF(Form_Responses[[#This Row],[1. In the last month, how often have you been upset because of unexpected situations related to academics, finances, or personal life?]]="Fairly often",3,4))))</f>
        <v>2</v>
      </c>
      <c r="AW76" s="3" t="s">
        <v>89</v>
      </c>
      <c r="AX76" s="5">
        <f>IF(Form_Responses[[#This Row],[2. In the last month, how often have you felt unable to control important things in your academic or personal life?]]="Never",0,IF(Form_Responses[[#This Row],[2. In the last month, how often have you felt unable to control important things in your academic or personal life?]]="Almost never",1,IF(Form_Responses[[#This Row],[2. In the last month, how often have you felt unable to control important things in your academic or personal life?]]="Sometimes",2,IF(Form_Responses[[#This Row],[2. In the last month, how often have you felt unable to control important things in your academic or personal life?]]="Fairly often",3,4))))</f>
        <v>2</v>
      </c>
      <c r="AY76" s="3" t="s">
        <v>89</v>
      </c>
      <c r="AZ76" s="4">
        <f>IF(Form_Responses[[#This Row],[3. In the last month, how often have you felt nervous or stressed because of university responsibilities or personal challenges?]]="Never",0,IF(Form_Responses[[#This Row],[3. In the last month, how often have you felt nervous or stressed because of university responsibilities or personal challenges?]]="Almost never",1,IF(Form_Responses[[#This Row],[3. In the last month, how often have you felt nervous or stressed because of university responsibilities or personal challenges?]]="Sometimes",2,IF(Form_Responses[[#This Row],[3. In the last month, how often have you felt nervous or stressed because of university responsibilities or personal challenges?]]="Fairly often",3,4))))</f>
        <v>2</v>
      </c>
      <c r="BA76" s="3" t="s">
        <v>89</v>
      </c>
      <c r="BB76" s="4">
        <f>IF(Form_Responses[[#This Row],[4. In the last month, how often have you felt confident about your ability to handle academic or personal problems?]]="Never",4,IF(Form_Responses[[#This Row],[4. In the last month, how often have you felt confident about your ability to handle academic or personal problems?]]="Almost never",3,IF(Form_Responses[[#This Row],[4. In the last month, how often have you felt confident about your ability to handle academic or personal problems?]]="Sometimes",2,IF(Form_Responses[[#This Row],[4. In the last month, how often have you felt confident about your ability to handle academic or personal problems?]]="Fairly often",1,0))))</f>
        <v>2</v>
      </c>
      <c r="BC76" s="3" t="s">
        <v>89</v>
      </c>
      <c r="BD76" s="4">
        <f>IF(Form_Responses[[#This Row],[5. In the last month, how often have you felt that things were going well in your studies or personal life?]]="Never",4,IF(Form_Responses[[#This Row],[5. In the last month, how often have you felt that things were going well in your studies or personal life?]]="Almost never",3,IF(Form_Responses[[#This Row],[5. In the last month, how often have you felt that things were going well in your studies or personal life?]]="Sometimes",2,IF(Form_Responses[[#This Row],[5. In the last month, how often have you felt that things were going well in your studies or personal life?]]="Fairly often",1,0))))</f>
        <v>2</v>
      </c>
      <c r="BE76" s="3" t="s">
        <v>89</v>
      </c>
      <c r="BF76" s="4">
        <f>IF(Form_Responses[[#This Row],[6. In the last month, how often have you felt unable to cope with coursework, deadlines, or daily responsibilities?]]="Never",0,IF(Form_Responses[[#This Row],[6. In the last month, how often have you felt unable to cope with coursework, deadlines, or daily responsibilities?]]="Almost never",1,IF(Form_Responses[[#This Row],[6. In the last month, how often have you felt unable to cope with coursework, deadlines, or daily responsibilities?]]="Sometimes",2,IF(Form_Responses[[#This Row],[6. In the last month, how often have you felt unable to cope with coursework, deadlines, or daily responsibilities?]]="Fairly often",3,4))))</f>
        <v>2</v>
      </c>
      <c r="BG76" s="3" t="s">
        <v>89</v>
      </c>
      <c r="BH76" s="4">
        <f>IF(Form_Responses[[#This Row],[7. In the last month, how often have you been able to control irritations or frustrations in your life?]]="Never",4,IF(Form_Responses[[#This Row],[7. In the last month, how often have you been able to control irritations or frustrations in your life?]]="Almost never",3,IF(Form_Responses[[#This Row],[7. In the last month, how often have you been able to control irritations or frustrations in your life?]]="Sometimes",2,IF(Form_Responses[[#This Row],[7. In the last month, how often have you been able to control irritations or frustrations in your life?]]="Fairly often",1,0))))</f>
        <v>2</v>
      </c>
      <c r="BI76" s="3" t="s">
        <v>89</v>
      </c>
      <c r="BJ76" s="4">
        <f>IF(Form_Responses[[#This Row],[8. In the last month, how often have you felt that you were managing your academic and personal responsibilities well?]]="Never",4,IF(Form_Responses[[#This Row],[8. In the last month, how often have you felt that you were managing your academic and personal responsibilities well?]]="Almost never",3,IF(Form_Responses[[#This Row],[8. In the last month, how often have you felt that you were managing your academic and personal responsibilities well?]]="Sometimes",2,IF(Form_Responses[[#This Row],[8. In the last month, how often have you felt that you were managing your academic and personal responsibilities well?]]="Fairly often",1,0))))</f>
        <v>2</v>
      </c>
      <c r="BK76" s="3" t="s">
        <v>89</v>
      </c>
      <c r="BL76" s="5">
        <f>IF(Form_Responses[[#This Row],[9. In the last month, how often have you been angered or frustrated by situations outside your control, such as finances, academics, or relationships?]]="Never",0,IF(Form_Responses[[#This Row],[9. In the last month, how often have you been angered or frustrated by situations outside your control, such as finances, academics, or relationships?]]="Almost never",1,IF(Form_Responses[[#This Row],[9. In the last month, how often have you been angered or frustrated by situations outside your control, such as finances, academics, or relationships?]]="Sometimes",2,IF(Form_Responses[[#This Row],[9. In the last month, how often have you been angered or frustrated by situations outside your control, such as finances, academics, or relationships?]]="Fairly often",3,4))))</f>
        <v>2</v>
      </c>
      <c r="BM76" s="3" t="s">
        <v>89</v>
      </c>
      <c r="BN76" s="4">
        <f>IF(Form_Responses[[#This Row],[10. In the last month, how often have you felt that difficulties were piling up so much that you could not overcome them?]]="Never",0,IF(Form_Responses[[#This Row],[10. In the last month, how often have you felt that difficulties were piling up so much that you could not overcome them?]]="Almost never",1,IF(Form_Responses[[#This Row],[10. In the last month, how often have you felt that difficulties were piling up so much that you could not overcome them?]]="Sometimes",2,IF(Form_Responses[[#This Row],[10. In the last month, how often have you felt that difficulties were piling up so much that you could not overcome them?]]="Fairly often",3,4))))</f>
        <v>2</v>
      </c>
      <c r="BO76" s="4">
        <f>SUM(Form_Responses[[#This Row],[Score17]],Form_Responses[[#This Row],[Score18]],Form_Responses[[#This Row],[Score19]],Form_Responses[[#This Row],[Score20]],Form_Responses[[#This Row],[Score21]],Form_Responses[[#This Row],[Score22]],Form_Responses[[#This Row],[Score23]],Form_Responses[[#This Row],[Score24]],Form_Responses[[#This Row],[Score25]],Form_Responses[[#This Row],[Score26]])</f>
        <v>20</v>
      </c>
      <c r="BP76" s="4" t="str">
        <f>IF(Form_Responses[[#This Row],[Anxiety Score2]]&lt;=13,"Low stress",IF(Form_Responses[[#This Row],[Anxiety Score2]]&lt;=26,"Moderate stress","High stress"))</f>
        <v xml:space="preserve">Moderate stress</v>
      </c>
      <c r="BQ76" s="3" t="s">
        <v>91</v>
      </c>
      <c r="BR76" s="3" t="s">
        <v>76</v>
      </c>
      <c r="BS76" s="3" t="s">
        <v>161</v>
      </c>
      <c r="BT76" s="3" t="s">
        <v>162</v>
      </c>
      <c r="BU76" s="3" t="s">
        <v>76</v>
      </c>
      <c r="BV76" s="3" t="s">
        <v>441</v>
      </c>
      <c r="BW76" s="3" t="s">
        <v>287</v>
      </c>
      <c r="BX76" s="3" t="s">
        <v>442</v>
      </c>
    </row>
    <row r="77" ht="22.5" customHeight="1">
      <c r="A77" s="2">
        <v>46205.020620370371</v>
      </c>
      <c r="B77" s="3" t="s">
        <v>76</v>
      </c>
      <c r="C77" s="3" t="s">
        <v>154</v>
      </c>
      <c r="D77" s="3" t="s">
        <v>78</v>
      </c>
      <c r="E77" s="3" t="s">
        <v>218</v>
      </c>
      <c r="F77" s="3" t="s">
        <v>443</v>
      </c>
      <c r="G77" s="3" t="s">
        <v>81</v>
      </c>
      <c r="H77" s="3" t="s">
        <v>101</v>
      </c>
      <c r="I77" s="3" t="s">
        <v>83</v>
      </c>
      <c r="J77" s="3" t="s">
        <v>160</v>
      </c>
      <c r="K77" s="3" t="s">
        <v>86</v>
      </c>
      <c r="L77" s="4">
        <f>IF(K77="Not at all",0,IF(K77="Several days",1,IF(K77="More than half the days",2,3)))</f>
        <v>1</v>
      </c>
      <c r="M77" s="3" t="s">
        <v>86</v>
      </c>
      <c r="N77" s="4">
        <f>IF(M77="Not at all",0,IF(M77="Several days",1,IF(M77="More than half the days",2,3)))</f>
        <v>1</v>
      </c>
      <c r="O77" s="3" t="s">
        <v>86</v>
      </c>
      <c r="P77" s="5">
        <f>IF(O77="Not at all",0,IF(O77="Several days",1,IF(O77="More than half the days",2,3)))</f>
        <v>1</v>
      </c>
      <c r="Q77" s="3" t="s">
        <v>85</v>
      </c>
      <c r="R77" s="4">
        <f>IF(Q77="Not at all",0,IF(Q77="Several days",1,IF(Q77="More than half the days",2,3)))</f>
        <v>0</v>
      </c>
      <c r="S77" s="3" t="s">
        <v>85</v>
      </c>
      <c r="T77" s="4">
        <f>IF(S77="Not at all",0,IF(S77="Several days",1,IF(S77="More than half the days",2,3)))</f>
        <v>0</v>
      </c>
      <c r="U77" s="3" t="s">
        <v>86</v>
      </c>
      <c r="V77" s="4">
        <f>IF(U77="Not at all",0,IF(U77="Several days",1,IF(U77="More than half the days",2,3)))</f>
        <v>1</v>
      </c>
      <c r="W77" s="3" t="s">
        <v>86</v>
      </c>
      <c r="X77" s="4">
        <f>IF(W77="Not at all",0,IF(W77="Several days",1,IF(W77="More than half the days",2,3)))</f>
        <v>1</v>
      </c>
      <c r="Y77" s="3" t="s">
        <v>85</v>
      </c>
      <c r="Z77" s="4">
        <f>IF(Y77="Not at all",0,IF(Y77="Several days",1,IF(Y77="More than half the days",2,3)))</f>
        <v>0</v>
      </c>
      <c r="AA77" s="3" t="s">
        <v>85</v>
      </c>
      <c r="AB77" s="4">
        <f>IF(AA77="Not at all",0,IF(AA77="Several days",1,IF(AA77="More than half the days",2,3)))</f>
        <v>0</v>
      </c>
      <c r="AC77" s="4">
        <f>SUM(Form_Responses[[#This Row],[Score]],Form_Responses[[#This Row],[Score2]],Form_Responses[[#This Row],[Score3]],Form_Responses[[#This Row],[Score4]],Form_Responses[[#This Row],[Score5]],Form_Responses[[#This Row],[Score6]],Form_Responses[[#This Row],[Score7]],Form_Responses[[#This Row],[Score8]],Form_Responses[[#This Row],[Score9]])</f>
        <v>5</v>
      </c>
      <c r="AD77" s="4" t="str">
        <f>IF(Form_Responses[[#This Row],[Depression Score ]]&lt;=4,"Minimal symptoms",IF(Form_Responses[[#This Row],[Depression Score ]]&lt;=9,"Mild Depression",IF(Form_Responses[[#This Row],[Depression Score ]]&lt;=14,"Moderate depression",IF(Form_Responses[[#This Row],[Depression Score ]]&lt;=19,"Moderately severe depression","Severe depression"))))</f>
        <v xml:space="preserve">Mild Depression</v>
      </c>
      <c r="AE77" s="3" t="s">
        <v>86</v>
      </c>
      <c r="AF77" s="4">
        <f>IF(AE77="Not at all",0,IF(AE77="Several days",1,IF(AE77="More than half the days",2,3)))</f>
        <v>1</v>
      </c>
      <c r="AG77" s="3" t="s">
        <v>104</v>
      </c>
      <c r="AH77" s="4">
        <f>IF(AG77="Not at all",0,IF(AG77="Several days",1,IF(AG77="More than half the days",2,3)))</f>
        <v>3</v>
      </c>
      <c r="AI77" s="3" t="s">
        <v>86</v>
      </c>
      <c r="AJ77" s="4">
        <f>IF(AI77="Not at all",0,IF(AI77="Several days",1,IF(AI77="More than half the days",2,3)))</f>
        <v>1</v>
      </c>
      <c r="AK77" s="3" t="s">
        <v>86</v>
      </c>
      <c r="AL77" s="4">
        <f>IF(AK77="Not at all",0,IF(AK77="Several days",1,IF(AK77="More than half the days",2,3)))</f>
        <v>1</v>
      </c>
      <c r="AM77" s="3" t="s">
        <v>86</v>
      </c>
      <c r="AN77" s="4">
        <f>IF(AM77="Not at all",0,IF(AM77="Several days",1,IF(AM77="More than half the days",2,3)))</f>
        <v>1</v>
      </c>
      <c r="AO77" s="3" t="s">
        <v>104</v>
      </c>
      <c r="AP77" s="4">
        <f>IF(AO77="Not at all",0,IF(AO77="Several days",1,IF(AO77="More than half the days",2,3)))</f>
        <v>3</v>
      </c>
      <c r="AQ77" s="3" t="s">
        <v>86</v>
      </c>
      <c r="AR77" s="4">
        <f>IF(AQ77="Not at all",0,IF(AQ77="Several days",1,IF(AQ77="More than half the days",2,3)))</f>
        <v>1</v>
      </c>
      <c r="AS77" s="4">
        <f>SUM(Form_Responses[[#This Row],[Score16]],Form_Responses[[#This Row],[Score10]],Form_Responses[[#This Row],[Score11]],Form_Responses[[#This Row],[Score12]],Form_Responses[[#This Row],[Score13]],Form_Responses[[#This Row],[Score14]],Form_Responses[[#This Row],[Score15]])</f>
        <v>11</v>
      </c>
      <c r="AT77" s="4" t="str">
        <f>IF(Form_Responses[[#This Row],[Anxiety Score]]&lt;=4,"Minimal anxiety",IF(Form_Responses[[#This Row],[Anxiety Score]]&lt;=9,"Mild anxiety",IF(Form_Responses[[#This Row],[Anxiety Score]]&lt;=14,"Moderate anxiety","Severe anxiety")))</f>
        <v xml:space="preserve">Moderate anxiety</v>
      </c>
      <c r="AU77" s="3" t="s">
        <v>88</v>
      </c>
      <c r="AV77" s="4">
        <f>IF(Form_Responses[[#This Row],[1. In the last month, how often have you been upset because of unexpected situations related to academics, finances, or personal life?]]="Never",0,IF(Form_Responses[[#This Row],[1. In the last month, how often have you been upset because of unexpected situations related to academics, finances, or personal life?]]="Almost never",1,IF(Form_Responses[[#This Row],[1. In the last month, how often have you been upset because of unexpected situations related to academics, finances, or personal life?]]="Sometimes",2,IF(Form_Responses[[#This Row],[1. In the last month, how often have you been upset because of unexpected situations related to academics, finances, or personal life?]]="Fairly often",3,4))))</f>
        <v>3</v>
      </c>
      <c r="AW77" s="3" t="s">
        <v>89</v>
      </c>
      <c r="AX77" s="5">
        <f>IF(Form_Responses[[#This Row],[2. In the last month, how often have you felt unable to control important things in your academic or personal life?]]="Never",0,IF(Form_Responses[[#This Row],[2. In the last month, how often have you felt unable to control important things in your academic or personal life?]]="Almost never",1,IF(Form_Responses[[#This Row],[2. In the last month, how often have you felt unable to control important things in your academic or personal life?]]="Sometimes",2,IF(Form_Responses[[#This Row],[2. In the last month, how often have you felt unable to control important things in your academic or personal life?]]="Fairly often",3,4))))</f>
        <v>2</v>
      </c>
      <c r="AY77" s="3" t="s">
        <v>88</v>
      </c>
      <c r="AZ77" s="4">
        <f>IF(Form_Responses[[#This Row],[3. In the last month, how often have you felt nervous or stressed because of university responsibilities or personal challenges?]]="Never",0,IF(Form_Responses[[#This Row],[3. In the last month, how often have you felt nervous or stressed because of university responsibilities or personal challenges?]]="Almost never",1,IF(Form_Responses[[#This Row],[3. In the last month, how often have you felt nervous or stressed because of university responsibilities or personal challenges?]]="Sometimes",2,IF(Form_Responses[[#This Row],[3. In the last month, how often have you felt nervous or stressed because of university responsibilities or personal challenges?]]="Fairly often",3,4))))</f>
        <v>3</v>
      </c>
      <c r="BA77" s="3" t="s">
        <v>90</v>
      </c>
      <c r="BB77" s="4">
        <f>IF(Form_Responses[[#This Row],[4. In the last month, how often have you felt confident about your ability to handle academic or personal problems?]]="Never",4,IF(Form_Responses[[#This Row],[4. In the last month, how often have you felt confident about your ability to handle academic or personal problems?]]="Almost never",3,IF(Form_Responses[[#This Row],[4. In the last month, how often have you felt confident about your ability to handle academic or personal problems?]]="Sometimes",2,IF(Form_Responses[[#This Row],[4. In the last month, how often have you felt confident about your ability to handle academic or personal problems?]]="Fairly often",1,0))))</f>
        <v>3</v>
      </c>
      <c r="BC77" s="3" t="s">
        <v>90</v>
      </c>
      <c r="BD77" s="4">
        <f>IF(Form_Responses[[#This Row],[5. In the last month, how often have you felt that things were going well in your studies or personal life?]]="Never",4,IF(Form_Responses[[#This Row],[5. In the last month, how often have you felt that things were going well in your studies or personal life?]]="Almost never",3,IF(Form_Responses[[#This Row],[5. In the last month, how often have you felt that things were going well in your studies or personal life?]]="Sometimes",2,IF(Form_Responses[[#This Row],[5. In the last month, how often have you felt that things were going well in your studies or personal life?]]="Fairly often",1,0))))</f>
        <v>3</v>
      </c>
      <c r="BE77" s="3" t="s">
        <v>90</v>
      </c>
      <c r="BF77" s="4">
        <f>IF(Form_Responses[[#This Row],[6. In the last month, how often have you felt unable to cope with coursework, deadlines, or daily responsibilities?]]="Never",0,IF(Form_Responses[[#This Row],[6. In the last month, how often have you felt unable to cope with coursework, deadlines, or daily responsibilities?]]="Almost never",1,IF(Form_Responses[[#This Row],[6. In the last month, how often have you felt unable to cope with coursework, deadlines, or daily responsibilities?]]="Sometimes",2,IF(Form_Responses[[#This Row],[6. In the last month, how often have you felt unable to cope with coursework, deadlines, or daily responsibilities?]]="Fairly often",3,4))))</f>
        <v>1</v>
      </c>
      <c r="BG77" s="3" t="s">
        <v>89</v>
      </c>
      <c r="BH77" s="4">
        <f>IF(Form_Responses[[#This Row],[7. In the last month, how often have you been able to control irritations or frustrations in your life?]]="Never",4,IF(Form_Responses[[#This Row],[7. In the last month, how often have you been able to control irritations or frustrations in your life?]]="Almost never",3,IF(Form_Responses[[#This Row],[7. In the last month, how often have you been able to control irritations or frustrations in your life?]]="Sometimes",2,IF(Form_Responses[[#This Row],[7. In the last month, how often have you been able to control irritations or frustrations in your life?]]="Fairly often",1,0))))</f>
        <v>2</v>
      </c>
      <c r="BI77" s="3" t="s">
        <v>89</v>
      </c>
      <c r="BJ77" s="4">
        <f>IF(Form_Responses[[#This Row],[8. In the last month, how often have you felt that you were managing your academic and personal responsibilities well?]]="Never",4,IF(Form_Responses[[#This Row],[8. In the last month, how often have you felt that you were managing your academic and personal responsibilities well?]]="Almost never",3,IF(Form_Responses[[#This Row],[8. In the last month, how often have you felt that you were managing your academic and personal responsibilities well?]]="Sometimes",2,IF(Form_Responses[[#This Row],[8. In the last month, how often have you felt that you were managing your academic and personal responsibilities well?]]="Fairly often",1,0))))</f>
        <v>2</v>
      </c>
      <c r="BK77" s="3" t="s">
        <v>88</v>
      </c>
      <c r="BL77" s="5">
        <f>IF(Form_Responses[[#This Row],[9. In the last month, how often have you been angered or frustrated by situations outside your control, such as finances, academics, or relationships?]]="Never",0,IF(Form_Responses[[#This Row],[9. In the last month, how often have you been angered or frustrated by situations outside your control, such as finances, academics, or relationships?]]="Almost never",1,IF(Form_Responses[[#This Row],[9. In the last month, how often have you been angered or frustrated by situations outside your control, such as finances, academics, or relationships?]]="Sometimes",2,IF(Form_Responses[[#This Row],[9. In the last month, how often have you been angered or frustrated by situations outside your control, such as finances, academics, or relationships?]]="Fairly often",3,4))))</f>
        <v>3</v>
      </c>
      <c r="BM77" s="3" t="s">
        <v>89</v>
      </c>
      <c r="BN77" s="4">
        <f>IF(Form_Responses[[#This Row],[10. In the last month, how often have you felt that difficulties were piling up so much that you could not overcome them?]]="Never",0,IF(Form_Responses[[#This Row],[10. In the last month, how often have you felt that difficulties were piling up so much that you could not overcome them?]]="Almost never",1,IF(Form_Responses[[#This Row],[10. In the last month, how often have you felt that difficulties were piling up so much that you could not overcome them?]]="Sometimes",2,IF(Form_Responses[[#This Row],[10. In the last month, how often have you felt that difficulties were piling up so much that you could not overcome them?]]="Fairly often",3,4))))</f>
        <v>2</v>
      </c>
      <c r="BO77" s="4">
        <f>SUM(Form_Responses[[#This Row],[Score17]],Form_Responses[[#This Row],[Score18]],Form_Responses[[#This Row],[Score19]],Form_Responses[[#This Row],[Score20]],Form_Responses[[#This Row],[Score21]],Form_Responses[[#This Row],[Score22]],Form_Responses[[#This Row],[Score23]],Form_Responses[[#This Row],[Score24]],Form_Responses[[#This Row],[Score25]],Form_Responses[[#This Row],[Score26]])</f>
        <v>24</v>
      </c>
      <c r="BP77" s="4" t="str">
        <f>IF(Form_Responses[[#This Row],[Anxiety Score2]]&lt;=13,"Low stress",IF(Form_Responses[[#This Row],[Anxiety Score2]]&lt;=26,"Moderate stress","High stress"))</f>
        <v xml:space="preserve">Moderate stress</v>
      </c>
      <c r="BQ77" s="3" t="s">
        <v>91</v>
      </c>
      <c r="BR77" s="3" t="s">
        <v>106</v>
      </c>
      <c r="BS77" s="3" t="s">
        <v>444</v>
      </c>
      <c r="BT77" s="3" t="s">
        <v>150</v>
      </c>
      <c r="BU77" s="3" t="s">
        <v>76</v>
      </c>
      <c r="BV77" s="3" t="s">
        <v>445</v>
      </c>
      <c r="BW77" s="3" t="s">
        <v>446</v>
      </c>
      <c r="BX77" s="3" t="s">
        <v>447</v>
      </c>
    </row>
    <row r="78" ht="22.5" customHeight="1">
      <c r="A78" s="2">
        <v>46206.288771423613</v>
      </c>
      <c r="B78" s="3" t="s">
        <v>76</v>
      </c>
      <c r="C78" s="3" t="s">
        <v>77</v>
      </c>
      <c r="D78" s="3" t="s">
        <v>112</v>
      </c>
      <c r="E78" s="3" t="s">
        <v>357</v>
      </c>
      <c r="F78" s="3" t="s">
        <v>448</v>
      </c>
      <c r="G78" s="3" t="s">
        <v>100</v>
      </c>
      <c r="H78" s="3" t="s">
        <v>82</v>
      </c>
      <c r="I78" s="3" t="s">
        <v>83</v>
      </c>
      <c r="J78" s="3" t="s">
        <v>84</v>
      </c>
      <c r="K78" s="3" t="s">
        <v>85</v>
      </c>
      <c r="L78" s="4">
        <f>IF(K78="Not at all",0,IF(K78="Several days",1,IF(K78="More than half the days",2,3)))</f>
        <v>0</v>
      </c>
      <c r="M78" s="3" t="s">
        <v>86</v>
      </c>
      <c r="N78" s="4">
        <f>IF(M78="Not at all",0,IF(M78="Several days",1,IF(M78="More than half the days",2,3)))</f>
        <v>1</v>
      </c>
      <c r="O78" s="3" t="s">
        <v>85</v>
      </c>
      <c r="P78" s="5">
        <f>IF(O78="Not at all",0,IF(O78="Several days",1,IF(O78="More than half the days",2,3)))</f>
        <v>0</v>
      </c>
      <c r="Q78" s="3" t="s">
        <v>85</v>
      </c>
      <c r="R78" s="4">
        <f>IF(Q78="Not at all",0,IF(Q78="Several days",1,IF(Q78="More than half the days",2,3)))</f>
        <v>0</v>
      </c>
      <c r="S78" s="3" t="s">
        <v>85</v>
      </c>
      <c r="T78" s="4">
        <f>IF(S78="Not at all",0,IF(S78="Several days",1,IF(S78="More than half the days",2,3)))</f>
        <v>0</v>
      </c>
      <c r="U78" s="3" t="s">
        <v>86</v>
      </c>
      <c r="V78" s="4">
        <f>IF(U78="Not at all",0,IF(U78="Several days",1,IF(U78="More than half the days",2,3)))</f>
        <v>1</v>
      </c>
      <c r="W78" s="3" t="s">
        <v>85</v>
      </c>
      <c r="X78" s="4">
        <f>IF(W78="Not at all",0,IF(W78="Several days",1,IF(W78="More than half the days",2,3)))</f>
        <v>0</v>
      </c>
      <c r="Y78" s="3" t="s">
        <v>85</v>
      </c>
      <c r="Z78" s="4">
        <f>IF(Y78="Not at all",0,IF(Y78="Several days",1,IF(Y78="More than half the days",2,3)))</f>
        <v>0</v>
      </c>
      <c r="AA78" s="3" t="s">
        <v>85</v>
      </c>
      <c r="AB78" s="4">
        <f>IF(AA78="Not at all",0,IF(AA78="Several days",1,IF(AA78="More than half the days",2,3)))</f>
        <v>0</v>
      </c>
      <c r="AC78" s="4">
        <f>SUM(Form_Responses[[#This Row],[Score]],Form_Responses[[#This Row],[Score2]],Form_Responses[[#This Row],[Score3]],Form_Responses[[#This Row],[Score4]],Form_Responses[[#This Row],[Score5]],Form_Responses[[#This Row],[Score6]],Form_Responses[[#This Row],[Score7]],Form_Responses[[#This Row],[Score8]],Form_Responses[[#This Row],[Score9]])</f>
        <v>2</v>
      </c>
      <c r="AD78" s="4" t="str">
        <f>IF(Form_Responses[[#This Row],[Depression Score ]]&lt;=4,"Minimal symptoms",IF(Form_Responses[[#This Row],[Depression Score ]]&lt;=9,"Mild Depression",IF(Form_Responses[[#This Row],[Depression Score ]]&lt;=14,"Moderate depression",IF(Form_Responses[[#This Row],[Depression Score ]]&lt;=19,"Moderately severe depression","Severe depression"))))</f>
        <v xml:space="preserve">Minimal symptoms</v>
      </c>
      <c r="AE78" s="3" t="s">
        <v>86</v>
      </c>
      <c r="AF78" s="4">
        <f>IF(AE78="Not at all",0,IF(AE78="Several days",1,IF(AE78="More than half the days",2,3)))</f>
        <v>1</v>
      </c>
      <c r="AG78" s="3" t="s">
        <v>86</v>
      </c>
      <c r="AH78" s="4">
        <f>IF(AG78="Not at all",0,IF(AG78="Several days",1,IF(AG78="More than half the days",2,3)))</f>
        <v>1</v>
      </c>
      <c r="AI78" s="3" t="s">
        <v>86</v>
      </c>
      <c r="AJ78" s="4">
        <f>IF(AI78="Not at all",0,IF(AI78="Several days",1,IF(AI78="More than half the days",2,3)))</f>
        <v>1</v>
      </c>
      <c r="AK78" s="3" t="s">
        <v>85</v>
      </c>
      <c r="AL78" s="4">
        <f>IF(AK78="Not at all",0,IF(AK78="Several days",1,IF(AK78="More than half the days",2,3)))</f>
        <v>0</v>
      </c>
      <c r="AM78" s="3" t="s">
        <v>85</v>
      </c>
      <c r="AN78" s="4">
        <f>IF(AM78="Not at all",0,IF(AM78="Several days",1,IF(AM78="More than half the days",2,3)))</f>
        <v>0</v>
      </c>
      <c r="AO78" s="3" t="s">
        <v>86</v>
      </c>
      <c r="AP78" s="4">
        <f>IF(AO78="Not at all",0,IF(AO78="Several days",1,IF(AO78="More than half the days",2,3)))</f>
        <v>1</v>
      </c>
      <c r="AQ78" s="3" t="s">
        <v>85</v>
      </c>
      <c r="AR78" s="4">
        <f>IF(AQ78="Not at all",0,IF(AQ78="Several days",1,IF(AQ78="More than half the days",2,3)))</f>
        <v>0</v>
      </c>
      <c r="AS78" s="4">
        <f>SUM(Form_Responses[[#This Row],[Score16]],Form_Responses[[#This Row],[Score10]],Form_Responses[[#This Row],[Score11]],Form_Responses[[#This Row],[Score12]],Form_Responses[[#This Row],[Score13]],Form_Responses[[#This Row],[Score14]],Form_Responses[[#This Row],[Score15]])</f>
        <v>4</v>
      </c>
      <c r="AT78" s="4" t="str">
        <f>IF(Form_Responses[[#This Row],[Anxiety Score]]&lt;=4,"Minimal anxiety",IF(Form_Responses[[#This Row],[Anxiety Score]]&lt;=9,"Mild anxiety",IF(Form_Responses[[#This Row],[Anxiety Score]]&lt;=14,"Moderate anxiety","Severe anxiety")))</f>
        <v xml:space="preserve">Minimal anxiety</v>
      </c>
      <c r="AU78" s="3" t="s">
        <v>88</v>
      </c>
      <c r="AV78" s="4">
        <f>IF(Form_Responses[[#This Row],[1. In the last month, how often have you been upset because of unexpected situations related to academics, finances, or personal life?]]="Never",0,IF(Form_Responses[[#This Row],[1. In the last month, how often have you been upset because of unexpected situations related to academics, finances, or personal life?]]="Almost never",1,IF(Form_Responses[[#This Row],[1. In the last month, how often have you been upset because of unexpected situations related to academics, finances, or personal life?]]="Sometimes",2,IF(Form_Responses[[#This Row],[1. In the last month, how often have you been upset because of unexpected situations related to academics, finances, or personal life?]]="Fairly often",3,4))))</f>
        <v>3</v>
      </c>
      <c r="AW78" s="3" t="s">
        <v>124</v>
      </c>
      <c r="AX78" s="5">
        <f>IF(Form_Responses[[#This Row],[2. In the last month, how often have you felt unable to control important things in your academic or personal life?]]="Never",0,IF(Form_Responses[[#This Row],[2. In the last month, how often have you felt unable to control important things in your academic or personal life?]]="Almost never",1,IF(Form_Responses[[#This Row],[2. In the last month, how often have you felt unable to control important things in your academic or personal life?]]="Sometimes",2,IF(Form_Responses[[#This Row],[2. In the last month, how often have you felt unable to control important things in your academic or personal life?]]="Fairly often",3,4))))</f>
        <v>0</v>
      </c>
      <c r="AY78" s="3" t="s">
        <v>89</v>
      </c>
      <c r="AZ78" s="4">
        <f>IF(Form_Responses[[#This Row],[3. In the last month, how often have you felt nervous or stressed because of university responsibilities or personal challenges?]]="Never",0,IF(Form_Responses[[#This Row],[3. In the last month, how often have you felt nervous or stressed because of university responsibilities or personal challenges?]]="Almost never",1,IF(Form_Responses[[#This Row],[3. In the last month, how often have you felt nervous or stressed because of university responsibilities or personal challenges?]]="Sometimes",2,IF(Form_Responses[[#This Row],[3. In the last month, how often have you felt nervous or stressed because of university responsibilities or personal challenges?]]="Fairly often",3,4))))</f>
        <v>2</v>
      </c>
      <c r="BA78" s="3" t="s">
        <v>105</v>
      </c>
      <c r="BB78" s="4">
        <f>IF(Form_Responses[[#This Row],[4. In the last month, how often have you felt confident about your ability to handle academic or personal problems?]]="Never",4,IF(Form_Responses[[#This Row],[4. In the last month, how often have you felt confident about your ability to handle academic or personal problems?]]="Almost never",3,IF(Form_Responses[[#This Row],[4. In the last month, how often have you felt confident about your ability to handle academic or personal problems?]]="Sometimes",2,IF(Form_Responses[[#This Row],[4. In the last month, how often have you felt confident about your ability to handle academic or personal problems?]]="Fairly often",1,0))))</f>
        <v>0</v>
      </c>
      <c r="BC78" s="3" t="s">
        <v>105</v>
      </c>
      <c r="BD78" s="4">
        <f>IF(Form_Responses[[#This Row],[5. In the last month, how often have you felt that things were going well in your studies or personal life?]]="Never",4,IF(Form_Responses[[#This Row],[5. In the last month, how often have you felt that things were going well in your studies or personal life?]]="Almost never",3,IF(Form_Responses[[#This Row],[5. In the last month, how often have you felt that things were going well in your studies or personal life?]]="Sometimes",2,IF(Form_Responses[[#This Row],[5. In the last month, how often have you felt that things were going well in your studies or personal life?]]="Fairly often",1,0))))</f>
        <v>0</v>
      </c>
      <c r="BE78" s="3" t="s">
        <v>89</v>
      </c>
      <c r="BF78" s="4">
        <f>IF(Form_Responses[[#This Row],[6. In the last month, how often have you felt unable to cope with coursework, deadlines, or daily responsibilities?]]="Never",0,IF(Form_Responses[[#This Row],[6. In the last month, how often have you felt unable to cope with coursework, deadlines, or daily responsibilities?]]="Almost never",1,IF(Form_Responses[[#This Row],[6. In the last month, how often have you felt unable to cope with coursework, deadlines, or daily responsibilities?]]="Sometimes",2,IF(Form_Responses[[#This Row],[6. In the last month, how often have you felt unable to cope with coursework, deadlines, or daily responsibilities?]]="Fairly often",3,4))))</f>
        <v>2</v>
      </c>
      <c r="BG78" s="3" t="s">
        <v>88</v>
      </c>
      <c r="BH78" s="4">
        <f>IF(Form_Responses[[#This Row],[7. In the last month, how often have you been able to control irritations or frustrations in your life?]]="Never",4,IF(Form_Responses[[#This Row],[7. In the last month, how often have you been able to control irritations or frustrations in your life?]]="Almost never",3,IF(Form_Responses[[#This Row],[7. In the last month, how often have you been able to control irritations or frustrations in your life?]]="Sometimes",2,IF(Form_Responses[[#This Row],[7. In the last month, how often have you been able to control irritations or frustrations in your life?]]="Fairly often",1,0))))</f>
        <v>1</v>
      </c>
      <c r="BI78" s="3" t="s">
        <v>105</v>
      </c>
      <c r="BJ78" s="4">
        <f>IF(Form_Responses[[#This Row],[8. In the last month, how often have you felt that you were managing your academic and personal responsibilities well?]]="Never",4,IF(Form_Responses[[#This Row],[8. In the last month, how often have you felt that you were managing your academic and personal responsibilities well?]]="Almost never",3,IF(Form_Responses[[#This Row],[8. In the last month, how often have you felt that you were managing your academic and personal responsibilities well?]]="Sometimes",2,IF(Form_Responses[[#This Row],[8. In the last month, how often have you felt that you were managing your academic and personal responsibilities well?]]="Fairly often",1,0))))</f>
        <v>0</v>
      </c>
      <c r="BK78" s="3" t="s">
        <v>88</v>
      </c>
      <c r="BL78" s="5">
        <f>IF(Form_Responses[[#This Row],[9. In the last month, how often have you been angered or frustrated by situations outside your control, such as finances, academics, or relationships?]]="Never",0,IF(Form_Responses[[#This Row],[9. In the last month, how often have you been angered or frustrated by situations outside your control, such as finances, academics, or relationships?]]="Almost never",1,IF(Form_Responses[[#This Row],[9. In the last month, how often have you been angered or frustrated by situations outside your control, such as finances, academics, or relationships?]]="Sometimes",2,IF(Form_Responses[[#This Row],[9. In the last month, how often have you been angered or frustrated by situations outside your control, such as finances, academics, or relationships?]]="Fairly often",3,4))))</f>
        <v>3</v>
      </c>
      <c r="BM78" s="3" t="s">
        <v>89</v>
      </c>
      <c r="BN78" s="4">
        <f>IF(Form_Responses[[#This Row],[10. In the last month, how often have you felt that difficulties were piling up so much that you could not overcome them?]]="Never",0,IF(Form_Responses[[#This Row],[10. In the last month, how often have you felt that difficulties were piling up so much that you could not overcome them?]]="Almost never",1,IF(Form_Responses[[#This Row],[10. In the last month, how often have you felt that difficulties were piling up so much that you could not overcome them?]]="Sometimes",2,IF(Form_Responses[[#This Row],[10. In the last month, how often have you felt that difficulties were piling up so much that you could not overcome them?]]="Fairly often",3,4))))</f>
        <v>2</v>
      </c>
      <c r="BO78" s="4">
        <f>SUM(Form_Responses[[#This Row],[Score17]],Form_Responses[[#This Row],[Score18]],Form_Responses[[#This Row],[Score19]],Form_Responses[[#This Row],[Score20]],Form_Responses[[#This Row],[Score21]],Form_Responses[[#This Row],[Score22]],Form_Responses[[#This Row],[Score23]],Form_Responses[[#This Row],[Score24]],Form_Responses[[#This Row],[Score25]],Form_Responses[[#This Row],[Score26]])</f>
        <v>13</v>
      </c>
      <c r="BP78" s="4" t="str">
        <f>IF(Form_Responses[[#This Row],[Anxiety Score2]]&lt;=13,"Low stress",IF(Form_Responses[[#This Row],[Anxiety Score2]]&lt;=26,"Moderate stress","High stress"))</f>
        <v xml:space="preserve">Low stress</v>
      </c>
      <c r="BQ78" s="3" t="s">
        <v>76</v>
      </c>
      <c r="BR78" s="3" t="s">
        <v>106</v>
      </c>
      <c r="BS78" s="3" t="s">
        <v>289</v>
      </c>
      <c r="BT78" s="3" t="s">
        <v>341</v>
      </c>
      <c r="BU78" s="3" t="s">
        <v>76</v>
      </c>
      <c r="BV78" s="3" t="s">
        <v>449</v>
      </c>
      <c r="BW78" s="3" t="s">
        <v>450</v>
      </c>
      <c r="BX78" s="3" t="s">
        <v>451</v>
      </c>
    </row>
    <row r="79" ht="22.5" customHeight="1">
      <c r="A79" s="2">
        <v>46210.904932800928</v>
      </c>
      <c r="B79" s="3" t="s">
        <v>76</v>
      </c>
      <c r="C79" s="3" t="s">
        <v>154</v>
      </c>
      <c r="D79" s="3" t="s">
        <v>112</v>
      </c>
      <c r="E79" s="3" t="s">
        <v>98</v>
      </c>
      <c r="F79" s="3" t="s">
        <v>452</v>
      </c>
      <c r="G79" s="3" t="s">
        <v>81</v>
      </c>
      <c r="H79" s="3" t="s">
        <v>101</v>
      </c>
      <c r="I79" s="3" t="s">
        <v>83</v>
      </c>
      <c r="J79" s="3" t="s">
        <v>84</v>
      </c>
      <c r="K79" s="3" t="s">
        <v>85</v>
      </c>
      <c r="L79" s="4">
        <f>IF(K79="Not at all",0,IF(K79="Several days",1,IF(K79="More than half the days",2,3)))</f>
        <v>0</v>
      </c>
      <c r="M79" s="3" t="s">
        <v>85</v>
      </c>
      <c r="N79" s="4">
        <f>IF(M79="Not at all",0,IF(M79="Several days",1,IF(M79="More than half the days",2,3)))</f>
        <v>0</v>
      </c>
      <c r="O79" s="3" t="s">
        <v>85</v>
      </c>
      <c r="P79" s="5">
        <f>IF(O79="Not at all",0,IF(O79="Several days",1,IF(O79="More than half the days",2,3)))</f>
        <v>0</v>
      </c>
      <c r="Q79" s="3" t="s">
        <v>85</v>
      </c>
      <c r="R79" s="4">
        <f>IF(Q79="Not at all",0,IF(Q79="Several days",1,IF(Q79="More than half the days",2,3)))</f>
        <v>0</v>
      </c>
      <c r="S79" s="3" t="s">
        <v>85</v>
      </c>
      <c r="T79" s="4">
        <f>IF(S79="Not at all",0,IF(S79="Several days",1,IF(S79="More than half the days",2,3)))</f>
        <v>0</v>
      </c>
      <c r="U79" s="3" t="s">
        <v>85</v>
      </c>
      <c r="V79" s="4">
        <f>IF(U79="Not at all",0,IF(U79="Several days",1,IF(U79="More than half the days",2,3)))</f>
        <v>0</v>
      </c>
      <c r="W79" s="3" t="s">
        <v>85</v>
      </c>
      <c r="X79" s="4">
        <f>IF(W79="Not at all",0,IF(W79="Several days",1,IF(W79="More than half the days",2,3)))</f>
        <v>0</v>
      </c>
      <c r="Y79" s="3" t="s">
        <v>85</v>
      </c>
      <c r="Z79" s="4">
        <f>IF(Y79="Not at all",0,IF(Y79="Several days",1,IF(Y79="More than half the days",2,3)))</f>
        <v>0</v>
      </c>
      <c r="AA79" s="3" t="s">
        <v>85</v>
      </c>
      <c r="AB79" s="4">
        <f>IF(AA79="Not at all",0,IF(AA79="Several days",1,IF(AA79="More than half the days",2,3)))</f>
        <v>0</v>
      </c>
      <c r="AC79" s="4">
        <f>SUM(Form_Responses[[#This Row],[Score]],Form_Responses[[#This Row],[Score2]],Form_Responses[[#This Row],[Score3]],Form_Responses[[#This Row],[Score4]],Form_Responses[[#This Row],[Score5]],Form_Responses[[#This Row],[Score6]],Form_Responses[[#This Row],[Score7]],Form_Responses[[#This Row],[Score8]],Form_Responses[[#This Row],[Score9]])</f>
        <v>0</v>
      </c>
      <c r="AD79" s="4" t="str">
        <f>IF(Form_Responses[[#This Row],[Depression Score ]]&lt;=4,"Minimal symptoms",IF(Form_Responses[[#This Row],[Depression Score ]]&lt;=9,"Mild Depression",IF(Form_Responses[[#This Row],[Depression Score ]]&lt;=14,"Moderate depression",IF(Form_Responses[[#This Row],[Depression Score ]]&lt;=19,"Moderately severe depression","Severe depression"))))</f>
        <v xml:space="preserve">Minimal symptoms</v>
      </c>
      <c r="AE79" s="3" t="s">
        <v>85</v>
      </c>
      <c r="AF79" s="4">
        <f>IF(AE79="Not at all",0,IF(AE79="Several days",1,IF(AE79="More than half the days",2,3)))</f>
        <v>0</v>
      </c>
      <c r="AG79" s="3" t="s">
        <v>85</v>
      </c>
      <c r="AH79" s="4">
        <f>IF(AG79="Not at all",0,IF(AG79="Several days",1,IF(AG79="More than half the days",2,3)))</f>
        <v>0</v>
      </c>
      <c r="AI79" s="3" t="s">
        <v>85</v>
      </c>
      <c r="AJ79" s="4">
        <f>IF(AI79="Not at all",0,IF(AI79="Several days",1,IF(AI79="More than half the days",2,3)))</f>
        <v>0</v>
      </c>
      <c r="AK79" s="3" t="s">
        <v>85</v>
      </c>
      <c r="AL79" s="4">
        <f>IF(AK79="Not at all",0,IF(AK79="Several days",1,IF(AK79="More than half the days",2,3)))</f>
        <v>0</v>
      </c>
      <c r="AM79" s="3" t="s">
        <v>85</v>
      </c>
      <c r="AN79" s="4">
        <f>IF(AM79="Not at all",0,IF(AM79="Several days",1,IF(AM79="More than half the days",2,3)))</f>
        <v>0</v>
      </c>
      <c r="AO79" s="3" t="s">
        <v>85</v>
      </c>
      <c r="AP79" s="4">
        <f>IF(AO79="Not at all",0,IF(AO79="Several days",1,IF(AO79="More than half the days",2,3)))</f>
        <v>0</v>
      </c>
      <c r="AQ79" s="3" t="s">
        <v>85</v>
      </c>
      <c r="AR79" s="4">
        <f>IF(AQ79="Not at all",0,IF(AQ79="Several days",1,IF(AQ79="More than half the days",2,3)))</f>
        <v>0</v>
      </c>
      <c r="AS79" s="4">
        <f>SUM(Form_Responses[[#This Row],[Score16]],Form_Responses[[#This Row],[Score10]],Form_Responses[[#This Row],[Score11]],Form_Responses[[#This Row],[Score12]],Form_Responses[[#This Row],[Score13]],Form_Responses[[#This Row],[Score14]],Form_Responses[[#This Row],[Score15]])</f>
        <v>0</v>
      </c>
      <c r="AT79" s="4" t="str">
        <f>IF(Form_Responses[[#This Row],[Anxiety Score]]&lt;=4,"Minimal anxiety",IF(Form_Responses[[#This Row],[Anxiety Score]]&lt;=9,"Mild anxiety",IF(Form_Responses[[#This Row],[Anxiety Score]]&lt;=14,"Moderate anxiety","Severe anxiety")))</f>
        <v xml:space="preserve">Minimal anxiety</v>
      </c>
      <c r="AU79" s="3" t="s">
        <v>89</v>
      </c>
      <c r="AV79" s="4">
        <f>IF(Form_Responses[[#This Row],[1. In the last month, how often have you been upset because of unexpected situations related to academics, finances, or personal life?]]="Never",0,IF(Form_Responses[[#This Row],[1. In the last month, how often have you been upset because of unexpected situations related to academics, finances, or personal life?]]="Almost never",1,IF(Form_Responses[[#This Row],[1. In the last month, how often have you been upset because of unexpected situations related to academics, finances, or personal life?]]="Sometimes",2,IF(Form_Responses[[#This Row],[1. In the last month, how often have you been upset because of unexpected situations related to academics, finances, or personal life?]]="Fairly often",3,4))))</f>
        <v>2</v>
      </c>
      <c r="AW79" s="3" t="s">
        <v>124</v>
      </c>
      <c r="AX79" s="5">
        <f>IF(Form_Responses[[#This Row],[2. In the last month, how often have you felt unable to control important things in your academic or personal life?]]="Never",0,IF(Form_Responses[[#This Row],[2. In the last month, how often have you felt unable to control important things in your academic or personal life?]]="Almost never",1,IF(Form_Responses[[#This Row],[2. In the last month, how often have you felt unable to control important things in your academic or personal life?]]="Sometimes",2,IF(Form_Responses[[#This Row],[2. In the last month, how often have you felt unable to control important things in your academic or personal life?]]="Fairly often",3,4))))</f>
        <v>0</v>
      </c>
      <c r="AY79" s="3" t="s">
        <v>89</v>
      </c>
      <c r="AZ79" s="4">
        <f>IF(Form_Responses[[#This Row],[3. In the last month, how often have you felt nervous or stressed because of university responsibilities or personal challenges?]]="Never",0,IF(Form_Responses[[#This Row],[3. In the last month, how often have you felt nervous or stressed because of university responsibilities or personal challenges?]]="Almost never",1,IF(Form_Responses[[#This Row],[3. In the last month, how often have you felt nervous or stressed because of university responsibilities or personal challenges?]]="Sometimes",2,IF(Form_Responses[[#This Row],[3. In the last month, how often have you felt nervous or stressed because of university responsibilities or personal challenges?]]="Fairly often",3,4))))</f>
        <v>2</v>
      </c>
      <c r="BA79" s="3" t="s">
        <v>89</v>
      </c>
      <c r="BB79" s="4">
        <f>IF(Form_Responses[[#This Row],[4. In the last month, how often have you felt confident about your ability to handle academic or personal problems?]]="Never",4,IF(Form_Responses[[#This Row],[4. In the last month, how often have you felt confident about your ability to handle academic or personal problems?]]="Almost never",3,IF(Form_Responses[[#This Row],[4. In the last month, how often have you felt confident about your ability to handle academic or personal problems?]]="Sometimes",2,IF(Form_Responses[[#This Row],[4. In the last month, how often have you felt confident about your ability to handle academic or personal problems?]]="Fairly often",1,0))))</f>
        <v>2</v>
      </c>
      <c r="BC79" s="3" t="s">
        <v>89</v>
      </c>
      <c r="BD79" s="4">
        <f>IF(Form_Responses[[#This Row],[5. In the last month, how often have you felt that things were going well in your studies or personal life?]]="Never",4,IF(Form_Responses[[#This Row],[5. In the last month, how often have you felt that things were going well in your studies or personal life?]]="Almost never",3,IF(Form_Responses[[#This Row],[5. In the last month, how often have you felt that things were going well in your studies or personal life?]]="Sometimes",2,IF(Form_Responses[[#This Row],[5. In the last month, how often have you felt that things were going well in your studies or personal life?]]="Fairly often",1,0))))</f>
        <v>2</v>
      </c>
      <c r="BE79" s="3" t="s">
        <v>124</v>
      </c>
      <c r="BF79" s="4">
        <f>IF(Form_Responses[[#This Row],[6. In the last month, how often have you felt unable to cope with coursework, deadlines, or daily responsibilities?]]="Never",0,IF(Form_Responses[[#This Row],[6. In the last month, how often have you felt unable to cope with coursework, deadlines, or daily responsibilities?]]="Almost never",1,IF(Form_Responses[[#This Row],[6. In the last month, how often have you felt unable to cope with coursework, deadlines, or daily responsibilities?]]="Sometimes",2,IF(Form_Responses[[#This Row],[6. In the last month, how often have you felt unable to cope with coursework, deadlines, or daily responsibilities?]]="Fairly often",3,4))))</f>
        <v>0</v>
      </c>
      <c r="BG79" s="3" t="s">
        <v>124</v>
      </c>
      <c r="BH79" s="4">
        <f>IF(Form_Responses[[#This Row],[7. In the last month, how often have you been able to control irritations or frustrations in your life?]]="Never",4,IF(Form_Responses[[#This Row],[7. In the last month, how often have you been able to control irritations or frustrations in your life?]]="Almost never",3,IF(Form_Responses[[#This Row],[7. In the last month, how often have you been able to control irritations or frustrations in your life?]]="Sometimes",2,IF(Form_Responses[[#This Row],[7. In the last month, how often have you been able to control irritations or frustrations in your life?]]="Fairly often",1,0))))</f>
        <v>4</v>
      </c>
      <c r="BI79" s="3" t="s">
        <v>124</v>
      </c>
      <c r="BJ79" s="4">
        <f>IF(Form_Responses[[#This Row],[8. In the last month, how often have you felt that you were managing your academic and personal responsibilities well?]]="Never",4,IF(Form_Responses[[#This Row],[8. In the last month, how often have you felt that you were managing your academic and personal responsibilities well?]]="Almost never",3,IF(Form_Responses[[#This Row],[8. In the last month, how often have you felt that you were managing your academic and personal responsibilities well?]]="Sometimes",2,IF(Form_Responses[[#This Row],[8. In the last month, how often have you felt that you were managing your academic and personal responsibilities well?]]="Fairly often",1,0))))</f>
        <v>4</v>
      </c>
      <c r="BK79" s="3" t="s">
        <v>89</v>
      </c>
      <c r="BL79" s="5">
        <f>IF(Form_Responses[[#This Row],[9. In the last month, how often have you been angered or frustrated by situations outside your control, such as finances, academics, or relationships?]]="Never",0,IF(Form_Responses[[#This Row],[9. In the last month, how often have you been angered or frustrated by situations outside your control, such as finances, academics, or relationships?]]="Almost never",1,IF(Form_Responses[[#This Row],[9. In the last month, how often have you been angered or frustrated by situations outside your control, such as finances, academics, or relationships?]]="Sometimes",2,IF(Form_Responses[[#This Row],[9. In the last month, how often have you been angered or frustrated by situations outside your control, such as finances, academics, or relationships?]]="Fairly often",3,4))))</f>
        <v>2</v>
      </c>
      <c r="BM79" s="3" t="s">
        <v>124</v>
      </c>
      <c r="BN79" s="4">
        <f>IF(Form_Responses[[#This Row],[10. In the last month, how often have you felt that difficulties were piling up so much that you could not overcome them?]]="Never",0,IF(Form_Responses[[#This Row],[10. In the last month, how often have you felt that difficulties were piling up so much that you could not overcome them?]]="Almost never",1,IF(Form_Responses[[#This Row],[10. In the last month, how often have you felt that difficulties were piling up so much that you could not overcome them?]]="Sometimes",2,IF(Form_Responses[[#This Row],[10. In the last month, how often have you felt that difficulties were piling up so much that you could not overcome them?]]="Fairly often",3,4))))</f>
        <v>0</v>
      </c>
      <c r="BO79" s="4">
        <f>SUM(Form_Responses[[#This Row],[Score17]],Form_Responses[[#This Row],[Score18]],Form_Responses[[#This Row],[Score19]],Form_Responses[[#This Row],[Score20]],Form_Responses[[#This Row],[Score21]],Form_Responses[[#This Row],[Score22]],Form_Responses[[#This Row],[Score23]],Form_Responses[[#This Row],[Score24]],Form_Responses[[#This Row],[Score25]],Form_Responses[[#This Row],[Score26]])</f>
        <v>18</v>
      </c>
      <c r="BP79" s="4" t="str">
        <f>IF(Form_Responses[[#This Row],[Anxiety Score2]]&lt;=13,"Low stress",IF(Form_Responses[[#This Row],[Anxiety Score2]]&lt;=26,"Moderate stress","High stress"))</f>
        <v xml:space="preserve">Moderate stress</v>
      </c>
      <c r="BQ79" s="3" t="s">
        <v>91</v>
      </c>
      <c r="BR79" s="3" t="s">
        <v>106</v>
      </c>
      <c r="BS79" s="3" t="s">
        <v>453</v>
      </c>
      <c r="BT79" s="3" t="s">
        <v>117</v>
      </c>
      <c r="BU79" s="3" t="s">
        <v>76</v>
      </c>
      <c r="BV79" s="3" t="s">
        <v>171</v>
      </c>
      <c r="BW79" s="3" t="s">
        <v>454</v>
      </c>
      <c r="BX79" s="3" t="s">
        <v>455</v>
      </c>
    </row>
    <row r="80" ht="22.5" customHeight="1">
      <c r="A80" s="2">
        <v>46211.508457118056</v>
      </c>
      <c r="B80" s="3" t="s">
        <v>76</v>
      </c>
      <c r="C80" s="3" t="s">
        <v>77</v>
      </c>
      <c r="D80" s="3" t="s">
        <v>78</v>
      </c>
      <c r="E80" s="3" t="s">
        <v>79</v>
      </c>
      <c r="F80" s="3" t="s">
        <v>241</v>
      </c>
      <c r="G80" s="3" t="s">
        <v>81</v>
      </c>
      <c r="H80" s="3" t="s">
        <v>101</v>
      </c>
      <c r="I80" s="3" t="s">
        <v>83</v>
      </c>
      <c r="J80" s="3" t="s">
        <v>160</v>
      </c>
      <c r="K80" s="3" t="s">
        <v>86</v>
      </c>
      <c r="L80" s="4">
        <f>IF(K80="Not at all",0,IF(K80="Several days",1,IF(K80="More than half the days",2,3)))</f>
        <v>1</v>
      </c>
      <c r="M80" s="3" t="s">
        <v>86</v>
      </c>
      <c r="N80" s="4">
        <f>IF(M80="Not at all",0,IF(M80="Several days",1,IF(M80="More than half the days",2,3)))</f>
        <v>1</v>
      </c>
      <c r="O80" s="3" t="s">
        <v>104</v>
      </c>
      <c r="P80" s="5">
        <f>IF(O80="Not at all",0,IF(O80="Several days",1,IF(O80="More than half the days",2,3)))</f>
        <v>3</v>
      </c>
      <c r="Q80" s="3" t="s">
        <v>86</v>
      </c>
      <c r="R80" s="4">
        <f>IF(Q80="Not at all",0,IF(Q80="Several days",1,IF(Q80="More than half the days",2,3)))</f>
        <v>1</v>
      </c>
      <c r="S80" s="3" t="s">
        <v>87</v>
      </c>
      <c r="T80" s="4">
        <f>IF(S80="Not at all",0,IF(S80="Several days",1,IF(S80="More than half the days",2,3)))</f>
        <v>2</v>
      </c>
      <c r="U80" s="3" t="s">
        <v>85</v>
      </c>
      <c r="V80" s="4">
        <f>IF(U80="Not at all",0,IF(U80="Several days",1,IF(U80="More than half the days",2,3)))</f>
        <v>0</v>
      </c>
      <c r="W80" s="3" t="s">
        <v>86</v>
      </c>
      <c r="X80" s="4">
        <f>IF(W80="Not at all",0,IF(W80="Several days",1,IF(W80="More than half the days",2,3)))</f>
        <v>1</v>
      </c>
      <c r="Y80" s="3" t="s">
        <v>85</v>
      </c>
      <c r="Z80" s="4">
        <f>IF(Y80="Not at all",0,IF(Y80="Several days",1,IF(Y80="More than half the days",2,3)))</f>
        <v>0</v>
      </c>
      <c r="AA80" s="3" t="s">
        <v>85</v>
      </c>
      <c r="AB80" s="4">
        <f>IF(AA80="Not at all",0,IF(AA80="Several days",1,IF(AA80="More than half the days",2,3)))</f>
        <v>0</v>
      </c>
      <c r="AC80" s="4">
        <f>SUM(Form_Responses[[#This Row],[Score]],Form_Responses[[#This Row],[Score2]],Form_Responses[[#This Row],[Score3]],Form_Responses[[#This Row],[Score4]],Form_Responses[[#This Row],[Score5]],Form_Responses[[#This Row],[Score6]],Form_Responses[[#This Row],[Score7]],Form_Responses[[#This Row],[Score8]],Form_Responses[[#This Row],[Score9]])</f>
        <v>9</v>
      </c>
      <c r="AD80" s="4" t="str">
        <f>IF(Form_Responses[[#This Row],[Depression Score ]]&lt;=4,"Minimal symptoms",IF(Form_Responses[[#This Row],[Depression Score ]]&lt;=9,"Mild Depression",IF(Form_Responses[[#This Row],[Depression Score ]]&lt;=14,"Moderate depression",IF(Form_Responses[[#This Row],[Depression Score ]]&lt;=19,"Moderately severe depression","Severe depression"))))</f>
        <v xml:space="preserve">Mild Depression</v>
      </c>
      <c r="AE80" s="3" t="s">
        <v>85</v>
      </c>
      <c r="AF80" s="4">
        <f>IF(AE80="Not at all",0,IF(AE80="Several days",1,IF(AE80="More than half the days",2,3)))</f>
        <v>0</v>
      </c>
      <c r="AG80" s="3" t="s">
        <v>85</v>
      </c>
      <c r="AH80" s="4">
        <f>IF(AG80="Not at all",0,IF(AG80="Several days",1,IF(AG80="More than half the days",2,3)))</f>
        <v>0</v>
      </c>
      <c r="AI80" s="3" t="s">
        <v>86</v>
      </c>
      <c r="AJ80" s="4">
        <f>IF(AI80="Not at all",0,IF(AI80="Several days",1,IF(AI80="More than half the days",2,3)))</f>
        <v>1</v>
      </c>
      <c r="AK80" s="3" t="s">
        <v>86</v>
      </c>
      <c r="AL80" s="4">
        <f>IF(AK80="Not at all",0,IF(AK80="Several days",1,IF(AK80="More than half the days",2,3)))</f>
        <v>1</v>
      </c>
      <c r="AM80" s="3" t="s">
        <v>86</v>
      </c>
      <c r="AN80" s="4">
        <f>IF(AM80="Not at all",0,IF(AM80="Several days",1,IF(AM80="More than half the days",2,3)))</f>
        <v>1</v>
      </c>
      <c r="AO80" s="3" t="s">
        <v>87</v>
      </c>
      <c r="AP80" s="4">
        <f>IF(AO80="Not at all",0,IF(AO80="Several days",1,IF(AO80="More than half the days",2,3)))</f>
        <v>2</v>
      </c>
      <c r="AQ80" s="3" t="s">
        <v>86</v>
      </c>
      <c r="AR80" s="4">
        <f>IF(AQ80="Not at all",0,IF(AQ80="Several days",1,IF(AQ80="More than half the days",2,3)))</f>
        <v>1</v>
      </c>
      <c r="AS80" s="4">
        <f>SUM(Form_Responses[[#This Row],[Score16]],Form_Responses[[#This Row],[Score10]],Form_Responses[[#This Row],[Score11]],Form_Responses[[#This Row],[Score12]],Form_Responses[[#This Row],[Score13]],Form_Responses[[#This Row],[Score14]],Form_Responses[[#This Row],[Score15]])</f>
        <v>6</v>
      </c>
      <c r="AT80" s="4" t="str">
        <f>IF(Form_Responses[[#This Row],[Anxiety Score]]&lt;=4,"Minimal anxiety",IF(Form_Responses[[#This Row],[Anxiety Score]]&lt;=9,"Mild anxiety",IF(Form_Responses[[#This Row],[Anxiety Score]]&lt;=14,"Moderate anxiety","Severe anxiety")))</f>
        <v xml:space="preserve">Mild anxiety</v>
      </c>
      <c r="AU80" s="3" t="s">
        <v>89</v>
      </c>
      <c r="AV80" s="4">
        <f>IF(Form_Responses[[#This Row],[1. In the last month, how often have you been upset because of unexpected situations related to academics, finances, or personal life?]]="Never",0,IF(Form_Responses[[#This Row],[1. In the last month, how often have you been upset because of unexpected situations related to academics, finances, or personal life?]]="Almost never",1,IF(Form_Responses[[#This Row],[1. In the last month, how often have you been upset because of unexpected situations related to academics, finances, or personal life?]]="Sometimes",2,IF(Form_Responses[[#This Row],[1. In the last month, how often have you been upset because of unexpected situations related to academics, finances, or personal life?]]="Fairly often",3,4))))</f>
        <v>2</v>
      </c>
      <c r="AW80" s="3" t="s">
        <v>89</v>
      </c>
      <c r="AX80" s="5">
        <f>IF(Form_Responses[[#This Row],[2. In the last month, how often have you felt unable to control important things in your academic or personal life?]]="Never",0,IF(Form_Responses[[#This Row],[2. In the last month, how often have you felt unable to control important things in your academic or personal life?]]="Almost never",1,IF(Form_Responses[[#This Row],[2. In the last month, how often have you felt unable to control important things in your academic or personal life?]]="Sometimes",2,IF(Form_Responses[[#This Row],[2. In the last month, how often have you felt unable to control important things in your academic or personal life?]]="Fairly often",3,4))))</f>
        <v>2</v>
      </c>
      <c r="AY80" s="3" t="s">
        <v>89</v>
      </c>
      <c r="AZ80" s="4">
        <f>IF(Form_Responses[[#This Row],[3. In the last month, how often have you felt nervous or stressed because of university responsibilities or personal challenges?]]="Never",0,IF(Form_Responses[[#This Row],[3. In the last month, how often have you felt nervous or stressed because of university responsibilities or personal challenges?]]="Almost never",1,IF(Form_Responses[[#This Row],[3. In the last month, how often have you felt nervous or stressed because of university responsibilities or personal challenges?]]="Sometimes",2,IF(Form_Responses[[#This Row],[3. In the last month, how often have you felt nervous or stressed because of university responsibilities or personal challenges?]]="Fairly often",3,4))))</f>
        <v>2</v>
      </c>
      <c r="BA80" s="3" t="s">
        <v>89</v>
      </c>
      <c r="BB80" s="4">
        <f>IF(Form_Responses[[#This Row],[4. In the last month, how often have you felt confident about your ability to handle academic or personal problems?]]="Never",4,IF(Form_Responses[[#This Row],[4. In the last month, how often have you felt confident about your ability to handle academic or personal problems?]]="Almost never",3,IF(Form_Responses[[#This Row],[4. In the last month, how often have you felt confident about your ability to handle academic or personal problems?]]="Sometimes",2,IF(Form_Responses[[#This Row],[4. In the last month, how often have you felt confident about your ability to handle academic or personal problems?]]="Fairly often",1,0))))</f>
        <v>2</v>
      </c>
      <c r="BC80" s="3" t="s">
        <v>90</v>
      </c>
      <c r="BD80" s="4">
        <f>IF(Form_Responses[[#This Row],[5. In the last month, how often have you felt that things were going well in your studies or personal life?]]="Never",4,IF(Form_Responses[[#This Row],[5. In the last month, how often have you felt that things were going well in your studies or personal life?]]="Almost never",3,IF(Form_Responses[[#This Row],[5. In the last month, how often have you felt that things were going well in your studies or personal life?]]="Sometimes",2,IF(Form_Responses[[#This Row],[5. In the last month, how often have you felt that things were going well in your studies or personal life?]]="Fairly often",1,0))))</f>
        <v>3</v>
      </c>
      <c r="BE80" s="3" t="s">
        <v>124</v>
      </c>
      <c r="BF80" s="4">
        <f>IF(Form_Responses[[#This Row],[6. In the last month, how often have you felt unable to cope with coursework, deadlines, or daily responsibilities?]]="Never",0,IF(Form_Responses[[#This Row],[6. In the last month, how often have you felt unable to cope with coursework, deadlines, or daily responsibilities?]]="Almost never",1,IF(Form_Responses[[#This Row],[6. In the last month, how often have you felt unable to cope with coursework, deadlines, or daily responsibilities?]]="Sometimes",2,IF(Form_Responses[[#This Row],[6. In the last month, how often have you felt unable to cope with coursework, deadlines, or daily responsibilities?]]="Fairly often",3,4))))</f>
        <v>0</v>
      </c>
      <c r="BG80" s="3" t="s">
        <v>88</v>
      </c>
      <c r="BH80" s="4">
        <f>IF(Form_Responses[[#This Row],[7. In the last month, how often have you been able to control irritations or frustrations in your life?]]="Never",4,IF(Form_Responses[[#This Row],[7. In the last month, how often have you been able to control irritations or frustrations in your life?]]="Almost never",3,IF(Form_Responses[[#This Row],[7. In the last month, how often have you been able to control irritations or frustrations in your life?]]="Sometimes",2,IF(Form_Responses[[#This Row],[7. In the last month, how often have you been able to control irritations or frustrations in your life?]]="Fairly often",1,0))))</f>
        <v>1</v>
      </c>
      <c r="BI80" s="3" t="s">
        <v>88</v>
      </c>
      <c r="BJ80" s="4">
        <f>IF(Form_Responses[[#This Row],[8. In the last month, how often have you felt that you were managing your academic and personal responsibilities well?]]="Never",4,IF(Form_Responses[[#This Row],[8. In the last month, how often have you felt that you were managing your academic and personal responsibilities well?]]="Almost never",3,IF(Form_Responses[[#This Row],[8. In the last month, how often have you felt that you were managing your academic and personal responsibilities well?]]="Sometimes",2,IF(Form_Responses[[#This Row],[8. In the last month, how often have you felt that you were managing your academic and personal responsibilities well?]]="Fairly often",1,0))))</f>
        <v>1</v>
      </c>
      <c r="BK80" s="3" t="s">
        <v>89</v>
      </c>
      <c r="BL80" s="5">
        <f>IF(Form_Responses[[#This Row],[9. In the last month, how often have you been angered or frustrated by situations outside your control, such as finances, academics, or relationships?]]="Never",0,IF(Form_Responses[[#This Row],[9. In the last month, how often have you been angered or frustrated by situations outside your control, such as finances, academics, or relationships?]]="Almost never",1,IF(Form_Responses[[#This Row],[9. In the last month, how often have you been angered or frustrated by situations outside your control, such as finances, academics, or relationships?]]="Sometimes",2,IF(Form_Responses[[#This Row],[9. In the last month, how often have you been angered or frustrated by situations outside your control, such as finances, academics, or relationships?]]="Fairly often",3,4))))</f>
        <v>2</v>
      </c>
      <c r="BM80" s="3" t="s">
        <v>105</v>
      </c>
      <c r="BN80" s="4">
        <f>IF(Form_Responses[[#This Row],[10. In the last month, how often have you felt that difficulties were piling up so much that you could not overcome them?]]="Never",0,IF(Form_Responses[[#This Row],[10. In the last month, how often have you felt that difficulties were piling up so much that you could not overcome them?]]="Almost never",1,IF(Form_Responses[[#This Row],[10. In the last month, how often have you felt that difficulties were piling up so much that you could not overcome them?]]="Sometimes",2,IF(Form_Responses[[#This Row],[10. In the last month, how often have you felt that difficulties were piling up so much that you could not overcome them?]]="Fairly often",3,4))))</f>
        <v>4</v>
      </c>
      <c r="BO80" s="4">
        <f>SUM(Form_Responses[[#This Row],[Score17]],Form_Responses[[#This Row],[Score18]],Form_Responses[[#This Row],[Score19]],Form_Responses[[#This Row],[Score20]],Form_Responses[[#This Row],[Score21]],Form_Responses[[#This Row],[Score22]],Form_Responses[[#This Row],[Score23]],Form_Responses[[#This Row],[Score24]],Form_Responses[[#This Row],[Score25]],Form_Responses[[#This Row],[Score26]])</f>
        <v>19</v>
      </c>
      <c r="BP80" s="4" t="str">
        <f>IF(Form_Responses[[#This Row],[Anxiety Score2]]&lt;=13,"Low stress",IF(Form_Responses[[#This Row],[Anxiety Score2]]&lt;=26,"Moderate stress","High stress"))</f>
        <v xml:space="preserve">Moderate stress</v>
      </c>
      <c r="BQ80" s="3" t="s">
        <v>91</v>
      </c>
      <c r="BR80" s="3" t="s">
        <v>76</v>
      </c>
      <c r="BS80" s="3" t="s">
        <v>456</v>
      </c>
      <c r="BT80" s="3" t="s">
        <v>227</v>
      </c>
      <c r="BU80" s="3" t="s">
        <v>76</v>
      </c>
      <c r="BV80" s="3" t="s">
        <v>457</v>
      </c>
      <c r="BW80" s="3" t="s">
        <v>458</v>
      </c>
      <c r="BX80" s="3" t="s">
        <v>459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sheetData/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